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rgei Calidad\Downloads\"/>
    </mc:Choice>
  </mc:AlternateContent>
  <xr:revisionPtr revIDLastSave="0" documentId="13_ncr:1_{4FC76F2A-34D5-46F3-8B55-C6E2DCD2890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PI" sheetId="1" r:id="rId1"/>
  </sheets>
  <definedNames>
    <definedName name="_xlnm.Print_Area" localSheetId="0">PI!$A$1:$F$27</definedName>
  </definedNames>
  <calcPr calcId="191029"/>
  <extLst>
    <ext uri="GoogleSheetsCustomDataVersion2">
      <go:sheetsCustomData xmlns:go="http://customooxmlschemas.google.com/" r:id="rId5" roundtripDataChecksum="l3Hrb2ZYtMGKZ6GF8ODcLcluunUho6Fo/Dw4043T4wk="/>
    </ext>
  </extLst>
</workbook>
</file>

<file path=xl/calcChain.xml><?xml version="1.0" encoding="utf-8"?>
<calcChain xmlns="http://schemas.openxmlformats.org/spreadsheetml/2006/main">
  <c r="E16" i="1" l="1"/>
  <c r="E13" i="1"/>
  <c r="E12" i="1"/>
  <c r="E15" i="1"/>
  <c r="F17" i="1"/>
  <c r="F14" i="1" l="1"/>
  <c r="F15" i="1" l="1"/>
  <c r="F13" i="1"/>
  <c r="F12" i="1" l="1"/>
  <c r="F19" i="1" l="1"/>
  <c r="D19" i="1"/>
</calcChain>
</file>

<file path=xl/sharedStrings.xml><?xml version="1.0" encoding="utf-8"?>
<sst xmlns="http://schemas.openxmlformats.org/spreadsheetml/2006/main" count="39" uniqueCount="39">
  <si>
    <t>Proforma Invoice</t>
  </si>
  <si>
    <r>
      <rPr>
        <b/>
        <sz val="18"/>
        <color theme="1"/>
        <rFont val="Times New Roman"/>
        <family val="1"/>
      </rPr>
      <t xml:space="preserve">Changsha We-iTech Co., Ltd.
Add: </t>
    </r>
    <r>
      <rPr>
        <sz val="18"/>
        <color theme="1"/>
        <rFont val="Times New Roman"/>
        <family val="1"/>
      </rPr>
      <t xml:space="preserve">Jinshiyiyuan, Lugu Street, Yuelu, Changsha City, Hunan, China.
</t>
    </r>
    <r>
      <rPr>
        <b/>
        <sz val="18"/>
        <color theme="1"/>
        <rFont val="Times New Roman"/>
        <family val="1"/>
      </rPr>
      <t>Tel:</t>
    </r>
    <r>
      <rPr>
        <sz val="18"/>
        <color theme="1"/>
        <rFont val="Times New Roman"/>
        <family val="1"/>
      </rPr>
      <t xml:space="preserve"> +86-15605603217</t>
    </r>
    <r>
      <rPr>
        <b/>
        <sz val="18"/>
        <color theme="1"/>
        <rFont val="Times New Roman"/>
        <family val="1"/>
      </rPr>
      <t xml:space="preserve">
E-mail: </t>
    </r>
    <r>
      <rPr>
        <sz val="18"/>
        <color theme="1"/>
        <rFont val="Times New Roman"/>
        <family val="1"/>
      </rPr>
      <t>MicWeng@We-iTech.com</t>
    </r>
    <r>
      <rPr>
        <b/>
        <sz val="18"/>
        <color theme="1"/>
        <rFont val="Times New Roman"/>
        <family val="1"/>
      </rPr>
      <t xml:space="preserve">
Website: </t>
    </r>
    <r>
      <rPr>
        <sz val="18"/>
        <color theme="1"/>
        <rFont val="Times New Roman"/>
        <family val="1"/>
      </rPr>
      <t>www.We-iTech.com</t>
    </r>
  </si>
  <si>
    <r>
      <rPr>
        <b/>
        <sz val="18"/>
        <color theme="1"/>
        <rFont val="Times New Roman"/>
        <family val="1"/>
      </rPr>
      <t>Region:</t>
    </r>
    <r>
      <rPr>
        <sz val="18"/>
        <color theme="1"/>
        <rFont val="Times New Roman"/>
        <family val="1"/>
      </rPr>
      <t xml:space="preserve"> Kazakhstan </t>
    </r>
  </si>
  <si>
    <t xml:space="preserve"> </t>
  </si>
  <si>
    <r>
      <rPr>
        <b/>
        <sz val="18"/>
        <color theme="1"/>
        <rFont val="Times New Roman"/>
        <family val="1"/>
      </rPr>
      <t>Validity:</t>
    </r>
    <r>
      <rPr>
        <sz val="18"/>
        <color theme="1"/>
        <rFont val="Times New Roman"/>
        <family val="1"/>
      </rPr>
      <t xml:space="preserve"> </t>
    </r>
  </si>
  <si>
    <r>
      <rPr>
        <b/>
        <sz val="18"/>
        <color theme="1"/>
        <rFont val="Times New Roman"/>
        <family val="1"/>
      </rPr>
      <t xml:space="preserve">To: </t>
    </r>
    <r>
      <rPr>
        <sz val="18"/>
        <color theme="1"/>
        <rFont val="Times New Roman"/>
        <family val="1"/>
      </rPr>
      <t>TOO Калидад «CALIDAD»</t>
    </r>
  </si>
  <si>
    <r>
      <rPr>
        <b/>
        <sz val="18"/>
        <color theme="1"/>
        <rFont val="Times New Roman"/>
        <family val="1"/>
      </rPr>
      <t xml:space="preserve">From: </t>
    </r>
    <r>
      <rPr>
        <sz val="18"/>
        <color theme="1"/>
        <rFont val="Times New Roman"/>
        <family val="1"/>
      </rPr>
      <t>Changsha We-iTech Co., Ltd.</t>
    </r>
  </si>
  <si>
    <r>
      <rPr>
        <b/>
        <sz val="18"/>
        <color theme="1"/>
        <rFont val="Times New Roman"/>
        <family val="1"/>
      </rPr>
      <t xml:space="preserve">Attn: </t>
    </r>
    <r>
      <rPr>
        <sz val="18"/>
        <color theme="1"/>
        <rFont val="Times New Roman"/>
        <family val="1"/>
      </rPr>
      <t>Mr. Khurashvili Evgeniy</t>
    </r>
  </si>
  <si>
    <r>
      <rPr>
        <b/>
        <sz val="18"/>
        <color theme="1"/>
        <rFont val="Times New Roman"/>
        <family val="1"/>
      </rPr>
      <t xml:space="preserve">Tel: </t>
    </r>
    <r>
      <rPr>
        <sz val="18"/>
        <color theme="1"/>
        <rFont val="Times New Roman"/>
        <family val="1"/>
      </rPr>
      <t xml:space="preserve"> </t>
    </r>
  </si>
  <si>
    <r>
      <rPr>
        <b/>
        <sz val="18"/>
        <color theme="1"/>
        <rFont val="Times New Roman"/>
        <family val="1"/>
      </rPr>
      <t>Invoice Date:</t>
    </r>
    <r>
      <rPr>
        <sz val="18"/>
        <color theme="1"/>
        <rFont val="Times New Roman"/>
        <family val="1"/>
      </rPr>
      <t xml:space="preserve"> </t>
    </r>
  </si>
  <si>
    <r>
      <rPr>
        <b/>
        <sz val="18"/>
        <color theme="1"/>
        <rFont val="Times New Roman"/>
        <family val="1"/>
      </rPr>
      <t xml:space="preserve">Fax:                                            </t>
    </r>
    <r>
      <rPr>
        <sz val="18"/>
        <color theme="1"/>
        <rFont val="Times New Roman"/>
        <family val="1"/>
      </rPr>
      <t>http://calidad.kz/</t>
    </r>
  </si>
  <si>
    <r>
      <rPr>
        <b/>
        <sz val="18"/>
        <color theme="1"/>
        <rFont val="Times New Roman"/>
        <family val="1"/>
      </rPr>
      <t>Contract No.:</t>
    </r>
    <r>
      <rPr>
        <sz val="18"/>
        <color theme="1"/>
        <rFont val="Times New Roman"/>
        <family val="1"/>
      </rPr>
      <t xml:space="preserve">  </t>
    </r>
  </si>
  <si>
    <r>
      <rPr>
        <b/>
        <sz val="18"/>
        <color theme="1"/>
        <rFont val="Times New Roman"/>
        <family val="1"/>
      </rPr>
      <t>Payment term:</t>
    </r>
    <r>
      <rPr>
        <sz val="18"/>
        <color theme="1"/>
        <rFont val="Times New Roman"/>
        <family val="1"/>
      </rPr>
      <t xml:space="preserve">  100% T/T payment before delivery</t>
    </r>
  </si>
  <si>
    <r>
      <rPr>
        <b/>
        <sz val="18"/>
        <color theme="1"/>
        <rFont val="Times New Roman"/>
        <family val="1"/>
      </rPr>
      <t>Contract Date:</t>
    </r>
    <r>
      <rPr>
        <sz val="18"/>
        <color theme="1"/>
        <rFont val="Times New Roman"/>
        <family val="1"/>
      </rPr>
      <t xml:space="preserve"> </t>
    </r>
  </si>
  <si>
    <r>
      <rPr>
        <b/>
        <sz val="18"/>
        <color theme="1"/>
        <rFont val="Times New Roman"/>
        <family val="1"/>
      </rPr>
      <t xml:space="preserve">Adress: </t>
    </r>
    <r>
      <rPr>
        <sz val="18"/>
        <color theme="1"/>
        <rFont val="Times New Roman"/>
        <family val="1"/>
      </rPr>
      <t xml:space="preserve"> Melnichnaya street 4/3 office N 15, Karaganda city, Kazakhstan. Postal code 100000</t>
    </r>
  </si>
  <si>
    <t>Item</t>
  </si>
  <si>
    <t>Model</t>
  </si>
  <si>
    <t>Description</t>
  </si>
  <si>
    <t>Quantity</t>
  </si>
  <si>
    <r>
      <rPr>
        <b/>
        <sz val="18"/>
        <color theme="1"/>
        <rFont val="Times New Roman"/>
        <family val="1"/>
      </rPr>
      <t xml:space="preserve">Unit Price(RMB)
</t>
    </r>
    <r>
      <rPr>
        <sz val="18"/>
        <color theme="1"/>
        <rFont val="Times New Roman"/>
        <family val="1"/>
      </rPr>
      <t>EXW (Liaocheng)</t>
    </r>
  </si>
  <si>
    <r>
      <rPr>
        <b/>
        <sz val="18"/>
        <color theme="1"/>
        <rFont val="Times New Roman"/>
        <family val="1"/>
      </rPr>
      <t>Sub Total (</t>
    </r>
    <r>
      <rPr>
        <b/>
        <sz val="18"/>
        <color rgb="FFFF0000"/>
        <rFont val="Times New Roman"/>
        <family val="1"/>
      </rPr>
      <t>RMB</t>
    </r>
    <r>
      <rPr>
        <b/>
        <sz val="18"/>
        <color theme="1"/>
        <rFont val="Times New Roman"/>
        <family val="1"/>
      </rPr>
      <t xml:space="preserve">)
</t>
    </r>
    <r>
      <rPr>
        <sz val="18"/>
        <color theme="1"/>
        <rFont val="Times New Roman"/>
        <family val="1"/>
      </rPr>
      <t>EXW (Liaocheng)</t>
    </r>
  </si>
  <si>
    <t>Total</t>
  </si>
  <si>
    <t>Note:</t>
  </si>
  <si>
    <t>Terms &amp; Conditions:</t>
  </si>
  <si>
    <r>
      <rPr>
        <b/>
        <sz val="18"/>
        <color theme="1"/>
        <rFont val="Times New Roman"/>
        <family val="1"/>
      </rPr>
      <t xml:space="preserve">Terms of Shipment: EXW </t>
    </r>
    <r>
      <rPr>
        <sz val="18"/>
        <color theme="1"/>
        <rFont val="Times New Roman"/>
        <family val="1"/>
      </rPr>
      <t>(Liaocheng)</t>
    </r>
  </si>
  <si>
    <r>
      <rPr>
        <b/>
        <sz val="18"/>
        <color theme="1"/>
        <rFont val="Times New Roman"/>
        <family val="1"/>
      </rPr>
      <t xml:space="preserve">Delivery time: </t>
    </r>
    <r>
      <rPr>
        <sz val="18"/>
        <color theme="1"/>
        <rFont val="Times New Roman"/>
        <family val="1"/>
      </rPr>
      <t>Inform when confirm the PO, normally 12 workdays.</t>
    </r>
  </si>
  <si>
    <t xml:space="preserve">Warranty: </t>
  </si>
  <si>
    <r>
      <rPr>
        <b/>
        <sz val="18"/>
        <color theme="1"/>
        <rFont val="Times New Roman"/>
        <family val="1"/>
      </rPr>
      <t xml:space="preserve">Remark:  : </t>
    </r>
    <r>
      <rPr>
        <sz val="18"/>
        <color theme="1"/>
        <rFont val="Times New Roman"/>
        <family val="1"/>
      </rPr>
      <t>Carton box packing</t>
    </r>
  </si>
  <si>
    <t>CLDA3DTF</t>
    <phoneticPr fontId="11" type="noConversion"/>
  </si>
  <si>
    <t>CLDA3DTF powder machine</t>
    <phoneticPr fontId="11" type="noConversion"/>
  </si>
  <si>
    <t>Powder machine, for CLDA3DTF, work as set</t>
    <phoneticPr fontId="11" type="noConversion"/>
  </si>
  <si>
    <r>
      <t xml:space="preserve">DTF printer, 30cm, </t>
    </r>
    <r>
      <rPr>
        <sz val="18"/>
        <rFont val="Times New Roman"/>
        <family val="1"/>
      </rPr>
      <t xml:space="preserve">2pcs </t>
    </r>
    <r>
      <rPr>
        <sz val="18"/>
        <color rgb="FFFF0000"/>
        <rFont val="Times New Roman"/>
        <family val="1"/>
      </rPr>
      <t>XP600</t>
    </r>
    <r>
      <rPr>
        <sz val="18"/>
        <color theme="1"/>
        <rFont val="Times New Roman"/>
        <family val="1"/>
      </rPr>
      <t xml:space="preserve"> (1pcs for CMYK, 1pcs for White). </t>
    </r>
    <r>
      <rPr>
        <sz val="18"/>
        <color rgb="FFFF0000"/>
        <rFont val="Times New Roman"/>
        <family val="1"/>
      </rPr>
      <t>Hoson + Riin</t>
    </r>
    <r>
      <rPr>
        <sz val="18"/>
        <color theme="1"/>
        <rFont val="Times New Roman"/>
        <family val="1"/>
      </rPr>
      <t xml:space="preserve">, </t>
    </r>
    <r>
      <rPr>
        <sz val="18"/>
        <color rgb="FFFF0000"/>
        <rFont val="Times New Roman"/>
        <family val="1"/>
      </rPr>
      <t>with Leg</t>
    </r>
    <r>
      <rPr>
        <sz val="18"/>
        <color theme="1"/>
        <rFont val="Times New Roman"/>
        <family val="1"/>
      </rPr>
      <t xml:space="preserve">. Qicai. 
</t>
    </r>
    <r>
      <rPr>
        <sz val="18"/>
        <color rgb="FFFF0000"/>
        <rFont val="Times New Roman"/>
        <family val="1"/>
      </rPr>
      <t>With small ink set for testing.</t>
    </r>
    <phoneticPr fontId="11" type="noConversion"/>
  </si>
  <si>
    <t>QH-XC1201</t>
    <phoneticPr fontId="11" type="noConversion"/>
  </si>
  <si>
    <t>Embroidery machine, 1 head, 12 needle, with software.
17500RMB for machine, 1500RMB for software, delivery cost 600RMB</t>
    <phoneticPr fontId="11" type="noConversion"/>
  </si>
  <si>
    <t>Delivery cost received last time is 1000RMB</t>
    <phoneticPr fontId="11" type="noConversion"/>
  </si>
  <si>
    <t>26.03.30 send spare parts from Qicai:
6pcs pump*60.5RMB=330RMB
ink pipe 3 meter=45RMB
ink damper 20pcs=120RMB
purifier 10pcs=150RMB
3200 ink pad 6pcs=150RMB</t>
    <phoneticPr fontId="11" type="noConversion"/>
  </si>
  <si>
    <t>Delivery cost last time for 20260114-1720 is: 
Qicai: 710RMB
Heat price: 80RMB
Spare parts sent to Yiwu is:
5pcs water tank, cos 270RMB</t>
  </si>
  <si>
    <t>CNC router, 1300×2500, A18, 3.2 kW water-cooled spindle, servo motors, T-slot table, pump, 380V power supply, lathe module, Z-axis height 400 mm, rotary axis for lathe module D160, interpolated 4th axis D160, tool height calibration sensor</t>
  </si>
  <si>
    <r>
      <t xml:space="preserve">Invoice No.: </t>
    </r>
    <r>
      <rPr>
        <sz val="18"/>
        <color theme="1"/>
        <rFont val="Times New Roman"/>
        <family val="1"/>
      </rPr>
      <t>20260401-0900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</si>
</sst>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2"/>
      <color rgb="FF000000"/>
      <name val="Calibri"/>
      <scheme val="minor"/>
    </font>
    <font>
      <sz val="14"/>
      <color theme="1"/>
      <name val="Times New Roman"/>
      <family val="1"/>
    </font>
    <font>
      <b/>
      <sz val="36"/>
      <color theme="1"/>
      <name val="Times New Roman"/>
      <family val="1"/>
    </font>
    <font>
      <sz val="12"/>
      <name val="Calibri"/>
      <family val="2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rgb="FF000000"/>
      <name val="Times New Roman"/>
      <family val="1"/>
    </font>
    <font>
      <sz val="18"/>
      <color theme="1"/>
      <name val="SimSun"/>
      <charset val="134"/>
    </font>
    <font>
      <b/>
      <sz val="18"/>
      <color rgb="FF000000"/>
      <name val="Times New Roman"/>
      <family val="1"/>
    </font>
    <font>
      <b/>
      <sz val="18"/>
      <color rgb="FFFF0000"/>
      <name val="Times New Roman"/>
      <family val="1"/>
    </font>
    <font>
      <sz val="9"/>
      <name val="Calibri"/>
      <family val="3"/>
      <charset val="134"/>
      <scheme val="minor"/>
    </font>
    <font>
      <sz val="18"/>
      <name val="Times New Roman"/>
      <family val="1"/>
    </font>
    <font>
      <sz val="18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164" fontId="5" fillId="0" borderId="11" xfId="0" applyNumberFormat="1" applyFont="1" applyBorder="1" applyAlignment="1">
      <alignment horizontal="center" vertical="center"/>
    </xf>
    <xf numFmtId="2" fontId="5" fillId="3" borderId="1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center" vertical="top" wrapText="1"/>
    </xf>
    <xf numFmtId="0" fontId="12" fillId="0" borderId="13" xfId="0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7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5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gif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38500" cy="857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4001861</xdr:colOff>
      <xdr:row>23</xdr:row>
      <xdr:rowOff>99786</xdr:rowOff>
    </xdr:from>
    <xdr:ext cx="3152775" cy="1223736"/>
    <xdr:pic>
      <xdr:nvPicPr>
        <xdr:cNvPr id="3" name="image12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285718" y="20610286"/>
          <a:ext cx="3152775" cy="1223736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1197430</xdr:colOff>
      <xdr:row>12</xdr:row>
      <xdr:rowOff>272144</xdr:rowOff>
    </xdr:from>
    <xdr:ext cx="997856" cy="644408"/>
    <xdr:pic>
      <xdr:nvPicPr>
        <xdr:cNvPr id="16" name="图片 15">
          <a:extLst>
            <a:ext uri="{FF2B5EF4-FFF2-40B4-BE49-F238E27FC236}">
              <a16:creationId xmlns:a16="http://schemas.microsoft.com/office/drawing/2014/main" id="{83E9511D-3281-4038-B2CD-F993FFF7F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9644" y="17544144"/>
          <a:ext cx="997856" cy="644408"/>
        </a:xfrm>
        <a:prstGeom prst="rect">
          <a:avLst/>
        </a:prstGeom>
      </xdr:spPr>
    </xdr:pic>
    <xdr:clientData/>
  </xdr:oneCellAnchor>
  <xdr:oneCellAnchor>
    <xdr:from>
      <xdr:col>1</xdr:col>
      <xdr:colOff>1170215</xdr:colOff>
      <xdr:row>12</xdr:row>
      <xdr:rowOff>961571</xdr:rowOff>
    </xdr:from>
    <xdr:ext cx="1061355" cy="500063"/>
    <xdr:pic>
      <xdr:nvPicPr>
        <xdr:cNvPr id="17" name="图片 16">
          <a:extLst>
            <a:ext uri="{FF2B5EF4-FFF2-40B4-BE49-F238E27FC236}">
              <a16:creationId xmlns:a16="http://schemas.microsoft.com/office/drawing/2014/main" id="{C776D2A0-00BB-4FC2-9DC4-F8A16CD4A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32429" y="18233571"/>
          <a:ext cx="1061355" cy="500063"/>
        </a:xfrm>
        <a:prstGeom prst="rect">
          <a:avLst/>
        </a:prstGeom>
      </xdr:spPr>
    </xdr:pic>
    <xdr:clientData/>
  </xdr:oneCellAnchor>
  <xdr:oneCellAnchor>
    <xdr:from>
      <xdr:col>1</xdr:col>
      <xdr:colOff>1409274</xdr:colOff>
      <xdr:row>13</xdr:row>
      <xdr:rowOff>382068</xdr:rowOff>
    </xdr:from>
    <xdr:ext cx="1020417" cy="996789"/>
    <xdr:pic>
      <xdr:nvPicPr>
        <xdr:cNvPr id="21" name="图片 20">
          <a:extLst>
            <a:ext uri="{FF2B5EF4-FFF2-40B4-BE49-F238E27FC236}">
              <a16:creationId xmlns:a16="http://schemas.microsoft.com/office/drawing/2014/main" id="{197AE973-45B9-44F7-BCCA-96F5BDB6C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71488" y="11884639"/>
          <a:ext cx="1020417" cy="99678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"/>
  <sheetViews>
    <sheetView tabSelected="1" view="pageBreakPreview" topLeftCell="B7" zoomScaleNormal="55" zoomScaleSheetLayoutView="100" workbookViewId="0">
      <selection activeCell="I21" sqref="I21"/>
    </sheetView>
  </sheetViews>
  <sheetFormatPr defaultColWidth="11.125" defaultRowHeight="15" customHeight="1"/>
  <cols>
    <col min="1" max="1" width="8.625" customWidth="1"/>
    <col min="2" max="2" width="36.125" customWidth="1"/>
    <col min="3" max="3" width="66.5" customWidth="1"/>
    <col min="4" max="4" width="14.125" customWidth="1"/>
    <col min="5" max="6" width="26.625" customWidth="1"/>
    <col min="7" max="7" width="9.625" customWidth="1"/>
    <col min="8" max="8" width="15.125" customWidth="1"/>
    <col min="9" max="9" width="22.625" customWidth="1"/>
    <col min="10" max="26" width="5.375" customWidth="1"/>
  </cols>
  <sheetData>
    <row r="1" spans="1:26" ht="63.75" customHeight="1">
      <c r="A1" s="24"/>
      <c r="B1" s="25"/>
      <c r="C1" s="25"/>
      <c r="D1" s="26" t="s">
        <v>0</v>
      </c>
      <c r="E1" s="27"/>
      <c r="F1" s="2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6" customHeight="1">
      <c r="A2" s="28" t="s">
        <v>1</v>
      </c>
      <c r="B2" s="29"/>
      <c r="C2" s="30"/>
      <c r="D2" s="33" t="s">
        <v>2</v>
      </c>
      <c r="E2" s="34"/>
      <c r="F2" s="35"/>
      <c r="G2" s="1"/>
      <c r="H2" s="1"/>
      <c r="I2" s="36" t="s">
        <v>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6" customHeight="1">
      <c r="A3" s="31"/>
      <c r="B3" s="27"/>
      <c r="C3" s="32"/>
      <c r="D3" s="37" t="s">
        <v>4</v>
      </c>
      <c r="E3" s="34"/>
      <c r="F3" s="35"/>
      <c r="G3" s="1"/>
      <c r="H3" s="1"/>
      <c r="I3" s="2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38"/>
      <c r="B4" s="34"/>
      <c r="C4" s="34"/>
      <c r="D4" s="34"/>
      <c r="E4" s="34"/>
      <c r="F4" s="35"/>
      <c r="G4" s="1"/>
      <c r="H4" s="1"/>
      <c r="I4" s="2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" customHeight="1">
      <c r="A5" s="37" t="s">
        <v>5</v>
      </c>
      <c r="B5" s="34"/>
      <c r="C5" s="35"/>
      <c r="D5" s="37" t="s">
        <v>6</v>
      </c>
      <c r="E5" s="34"/>
      <c r="F5" s="3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" customHeight="1">
      <c r="A6" s="39" t="s">
        <v>7</v>
      </c>
      <c r="B6" s="34"/>
      <c r="C6" s="35"/>
      <c r="D6" s="37" t="s">
        <v>38</v>
      </c>
      <c r="E6" s="34"/>
      <c r="F6" s="3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" customHeight="1">
      <c r="A7" s="39" t="s">
        <v>8</v>
      </c>
      <c r="B7" s="34"/>
      <c r="C7" s="35"/>
      <c r="D7" s="37" t="s">
        <v>9</v>
      </c>
      <c r="E7" s="34"/>
      <c r="F7" s="3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" customHeight="1">
      <c r="A8" s="37" t="s">
        <v>10</v>
      </c>
      <c r="B8" s="34"/>
      <c r="C8" s="35"/>
      <c r="D8" s="37" t="s">
        <v>11</v>
      </c>
      <c r="E8" s="34"/>
      <c r="F8" s="3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" customHeight="1">
      <c r="A9" s="37" t="s">
        <v>12</v>
      </c>
      <c r="B9" s="34"/>
      <c r="C9" s="35"/>
      <c r="D9" s="37" t="s">
        <v>13</v>
      </c>
      <c r="E9" s="34"/>
      <c r="F9" s="3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3" customHeight="1">
      <c r="A10" s="37" t="s">
        <v>14</v>
      </c>
      <c r="B10" s="34"/>
      <c r="C10" s="34"/>
      <c r="D10" s="34"/>
      <c r="E10" s="34"/>
      <c r="F10" s="3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75" customHeight="1">
      <c r="A11" s="2" t="s">
        <v>15</v>
      </c>
      <c r="B11" s="3" t="s">
        <v>16</v>
      </c>
      <c r="C11" s="3" t="s">
        <v>17</v>
      </c>
      <c r="D11" s="3" t="s">
        <v>18</v>
      </c>
      <c r="E11" s="4" t="s">
        <v>19</v>
      </c>
      <c r="F11" s="4" t="s">
        <v>20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4.6" customHeight="1">
      <c r="A12" s="20">
        <v>1</v>
      </c>
      <c r="B12" s="15">
        <v>1325</v>
      </c>
      <c r="C12" s="19" t="s">
        <v>37</v>
      </c>
      <c r="D12" s="12">
        <v>1</v>
      </c>
      <c r="E12" s="13">
        <f>27300*1.1</f>
        <v>30030.000000000004</v>
      </c>
      <c r="F12" s="14">
        <f t="shared" ref="F12" si="0">D12*E12</f>
        <v>30030.000000000004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9" customHeight="1">
      <c r="A13" s="20">
        <v>2</v>
      </c>
      <c r="B13" s="22" t="s">
        <v>28</v>
      </c>
      <c r="C13" s="23" t="s">
        <v>31</v>
      </c>
      <c r="D13" s="12">
        <v>1</v>
      </c>
      <c r="E13" s="13">
        <f>170+7684+1320*2+550</f>
        <v>11044</v>
      </c>
      <c r="F13" s="14">
        <f t="shared" ref="F13:F15" si="1">D13*E13</f>
        <v>11044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4" customHeight="1">
      <c r="A14" s="20">
        <v>3</v>
      </c>
      <c r="B14" s="22" t="s">
        <v>29</v>
      </c>
      <c r="C14" s="23" t="s">
        <v>30</v>
      </c>
      <c r="D14" s="12">
        <v>1</v>
      </c>
      <c r="E14" s="13">
        <v>1695</v>
      </c>
      <c r="F14" s="14">
        <f t="shared" ref="F14" si="2">D14*E14</f>
        <v>1695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4" customHeight="1">
      <c r="A15" s="20">
        <v>4</v>
      </c>
      <c r="B15" s="19" t="s">
        <v>32</v>
      </c>
      <c r="C15" s="15" t="s">
        <v>33</v>
      </c>
      <c r="D15" s="12">
        <v>1</v>
      </c>
      <c r="E15" s="18">
        <f>17500+1500+600</f>
        <v>19600</v>
      </c>
      <c r="F15" s="14">
        <f t="shared" si="1"/>
        <v>19600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7.6" customHeight="1">
      <c r="A16" s="20"/>
      <c r="B16" s="17"/>
      <c r="C16" s="16" t="s">
        <v>35</v>
      </c>
      <c r="E16" s="12">
        <f>330+45+120+150+150</f>
        <v>795</v>
      </c>
      <c r="F16" s="14">
        <v>815</v>
      </c>
      <c r="G16" s="5"/>
      <c r="H16" s="21"/>
      <c r="I16" s="6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0.5" customHeight="1">
      <c r="A17" s="20"/>
      <c r="B17" s="17"/>
      <c r="C17" s="16" t="s">
        <v>36</v>
      </c>
      <c r="D17" s="12"/>
      <c r="E17" s="13"/>
      <c r="F17" s="14">
        <f>710+80+270</f>
        <v>1060</v>
      </c>
      <c r="G17" s="5"/>
      <c r="H17" s="21"/>
      <c r="I17" s="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42.6" customHeight="1">
      <c r="A18" s="20"/>
      <c r="B18" s="17"/>
      <c r="C18" s="16" t="s">
        <v>34</v>
      </c>
      <c r="D18" s="12"/>
      <c r="E18" s="13"/>
      <c r="F18" s="14">
        <v>-1000</v>
      </c>
      <c r="G18" s="5"/>
      <c r="H18" s="21"/>
      <c r="I18" s="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7.5" customHeight="1">
      <c r="A19" s="43"/>
      <c r="B19" s="35"/>
      <c r="C19" s="7" t="s">
        <v>21</v>
      </c>
      <c r="D19" s="8" t="e">
        <f>SUM(#REF!)</f>
        <v>#REF!</v>
      </c>
      <c r="E19" s="9"/>
      <c r="F19" s="10">
        <f>SUM(F12:F18)</f>
        <v>63244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" customHeight="1">
      <c r="A20" s="44"/>
      <c r="B20" s="34"/>
      <c r="C20" s="34"/>
      <c r="D20" s="34"/>
      <c r="E20" s="34"/>
      <c r="F20" s="35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" customHeight="1">
      <c r="A21" s="45" t="s">
        <v>22</v>
      </c>
      <c r="B21" s="29"/>
      <c r="C21" s="29"/>
      <c r="D21" s="29"/>
      <c r="E21" s="29"/>
      <c r="F21" s="3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0.6" customHeight="1">
      <c r="A22" s="37"/>
      <c r="B22" s="34"/>
      <c r="C22" s="34"/>
      <c r="D22" s="34"/>
      <c r="E22" s="34"/>
      <c r="F22" s="3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4.5" customHeight="1">
      <c r="A23" s="46" t="s">
        <v>23</v>
      </c>
      <c r="B23" s="29"/>
      <c r="C23" s="29"/>
      <c r="D23" s="29"/>
      <c r="E23" s="29"/>
      <c r="F23" s="3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5.25" customHeight="1">
      <c r="A24" s="40" t="s">
        <v>24</v>
      </c>
      <c r="B24" s="25"/>
      <c r="C24" s="25"/>
      <c r="D24" s="25"/>
      <c r="E24" s="25"/>
      <c r="F24" s="4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5.25" customHeight="1">
      <c r="A25" s="40" t="s">
        <v>25</v>
      </c>
      <c r="B25" s="25"/>
      <c r="C25" s="25"/>
      <c r="D25" s="25"/>
      <c r="E25" s="25"/>
      <c r="F25" s="4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5.25" customHeight="1">
      <c r="A26" s="40" t="s">
        <v>26</v>
      </c>
      <c r="B26" s="25"/>
      <c r="C26" s="25"/>
      <c r="D26" s="25"/>
      <c r="E26" s="25"/>
      <c r="F26" s="4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5.25" customHeight="1">
      <c r="A27" s="42" t="s">
        <v>27</v>
      </c>
      <c r="B27" s="27"/>
      <c r="C27" s="27"/>
      <c r="D27" s="27"/>
      <c r="E27" s="27"/>
      <c r="F27" s="3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8.25" customHeight="1">
      <c r="A28" s="1"/>
      <c r="B28" s="1"/>
      <c r="C28" s="1"/>
      <c r="D28" s="1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1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1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27">
    <mergeCell ref="A24:F24"/>
    <mergeCell ref="A25:F25"/>
    <mergeCell ref="A26:F26"/>
    <mergeCell ref="A27:F27"/>
    <mergeCell ref="A8:C8"/>
    <mergeCell ref="A9:C9"/>
    <mergeCell ref="A19:B19"/>
    <mergeCell ref="A20:F20"/>
    <mergeCell ref="A21:F21"/>
    <mergeCell ref="A22:F22"/>
    <mergeCell ref="A23:F23"/>
    <mergeCell ref="D9:F9"/>
    <mergeCell ref="A10:F10"/>
    <mergeCell ref="D8:F8"/>
    <mergeCell ref="A5:C5"/>
    <mergeCell ref="D5:F5"/>
    <mergeCell ref="A6:C6"/>
    <mergeCell ref="D6:F6"/>
    <mergeCell ref="A7:C7"/>
    <mergeCell ref="D7:F7"/>
    <mergeCell ref="A1:C1"/>
    <mergeCell ref="D1:F1"/>
    <mergeCell ref="A2:C3"/>
    <mergeCell ref="D2:F2"/>
    <mergeCell ref="I2:I4"/>
    <mergeCell ref="D3:F3"/>
    <mergeCell ref="A4:F4"/>
  </mergeCells>
  <phoneticPr fontId="1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PI</vt:lpstr>
      <vt:lpstr>PI!Область_печати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invt_tyb</dc:creator>
  <cp:lastModifiedBy>Sergei Calidad</cp:lastModifiedBy>
  <cp:lastPrinted>2025-09-23T12:40:47Z</cp:lastPrinted>
  <dcterms:created xsi:type="dcterms:W3CDTF">2005-12-04T13:04:23Z</dcterms:created>
  <dcterms:modified xsi:type="dcterms:W3CDTF">2026-04-15T04:07:17Z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148581143</vt:i4>
  </property>
  <property fmtid="{D5CDD505-2E9C-101B-9397-08002B2CF9AE}" pid="3" name="_EmailSubject">
    <vt:lpwstr>Proforma invoice from INVT!</vt:lpwstr>
  </property>
  <property fmtid="{D5CDD505-2E9C-101B-9397-08002B2CF9AE}" pid="4" name="_AuthorEmail">
    <vt:lpwstr>inno@cyber.net.pk</vt:lpwstr>
  </property>
  <property fmtid="{D5CDD505-2E9C-101B-9397-08002B2CF9AE}" pid="5" name="_AuthorEmailDisplayName">
    <vt:lpwstr>INNOVATIVE ENGINEER</vt:lpwstr>
  </property>
  <property fmtid="{D5CDD505-2E9C-101B-9397-08002B2CF9AE}" pid="6" name="_ReviewingToolsShownOnce">
    <vt:lpwstr/>
  </property>
</Properties>
</file>