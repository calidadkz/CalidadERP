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<sst xmlns="http://schemas.openxmlformats.org/spreadsheetml/2006/main" count="46" uniqueCount="34">
  <si>
    <t xml:space="preserve">"SELLER:BENEFICIARY’S NAME：LIAOCHENG DEVELOPMENT ZONE JINGKE LASER 
EQUIPMENT CO,LTD."		
		</t>
  </si>
  <si>
    <t xml:space="preserve">Invoice Date: </t>
  </si>
  <si>
    <r>
      <rPr>
        <rFont val="宋体"/>
        <b/>
        <color theme="1"/>
        <sz val="10.0"/>
      </rPr>
      <t>发票号</t>
    </r>
    <r>
      <rPr>
        <rFont val="Times New Roman"/>
        <b/>
        <color theme="1"/>
        <sz val="10.0"/>
      </rPr>
      <t xml:space="preserve"> Invoice No.</t>
    </r>
  </si>
  <si>
    <t>Invoice No.:  250424</t>
  </si>
  <si>
    <r>
      <rPr>
        <rFont val="&quot;Times New Roman&quot;"/>
        <b/>
        <color rgb="FF000000"/>
        <sz val="11.0"/>
      </rPr>
      <t>Contract No.:</t>
    </r>
    <r>
      <rPr>
        <rFont val="&quot;Times New Roman&quot;"/>
        <b val="0"/>
        <color rgb="FF000000"/>
        <sz val="11.0"/>
      </rPr>
      <t xml:space="preserve">   </t>
    </r>
    <r>
      <rPr>
        <rFont val="&quot;Times New Roman&quot;"/>
        <b/>
        <color rgb="FF000000"/>
        <sz val="11.0"/>
      </rPr>
      <t xml:space="preserve"> 24/2</t>
    </r>
  </si>
  <si>
    <t>Упако</t>
  </si>
  <si>
    <t xml:space="preserve"> Contract Date: 01.01.24</t>
  </si>
  <si>
    <t>BUYER: TOO Калидад «CALIDAD»Kazakhstan, сity Karaganda, St. Respublika Kazakhstan Karagandinskaya oblast', gorod Saran' ulica Timiryazeva 8/1, БИН: 161140001283</t>
  </si>
  <si>
    <t>Attn: Mr. Khurashvili Evgeniy</t>
  </si>
  <si>
    <r>
      <rPr>
        <rFont val="宋体"/>
        <b/>
        <color theme="1"/>
        <sz val="10.0"/>
      </rPr>
      <t>地址</t>
    </r>
    <r>
      <rPr>
        <rFont val="Times New Roman"/>
        <b/>
        <color theme="1"/>
        <sz val="10.0"/>
      </rPr>
      <t>Add</t>
    </r>
    <r>
      <rPr>
        <rFont val="Times New Roman"/>
        <b val="0"/>
        <color theme="1"/>
        <sz val="10.0"/>
      </rPr>
      <t>: Kazakhstan. Postal code 100000</t>
    </r>
  </si>
  <si>
    <r>
      <rPr>
        <rFont val="Times New Roman"/>
        <b/>
        <color theme="1"/>
        <sz val="10.0"/>
      </rPr>
      <t>From:</t>
    </r>
    <r>
      <rPr>
        <rFont val="Times New Roman"/>
        <b/>
        <color theme="1"/>
        <sz val="10.0"/>
      </rPr>
      <t xml:space="preserve">  Liaocheng China</t>
    </r>
  </si>
  <si>
    <r>
      <rPr>
        <rFont val="Times New Roman"/>
        <b/>
        <color theme="1"/>
        <sz val="10.0"/>
      </rPr>
      <t>To</t>
    </r>
    <r>
      <rPr>
        <rFont val="Times New Roman"/>
        <b/>
        <color theme="1"/>
        <sz val="10.0"/>
      </rPr>
      <t>:   Kazakhstan</t>
    </r>
  </si>
  <si>
    <t>Model</t>
  </si>
  <si>
    <t>Description/Спецификация</t>
  </si>
  <si>
    <t>Кол-во мест Wooden box
箱数</t>
  </si>
  <si>
    <t>Кол-во штук Quantity 
(per box)
数量/箱</t>
  </si>
  <si>
    <t>Weight/Box  重量/箱 (kg)</t>
  </si>
  <si>
    <t>Итого
вес нетто Sub-total
net weight</t>
  </si>
  <si>
    <t>Итого
вес брутто Sub-total
gross weight</t>
  </si>
  <si>
    <t>Итоговый размер   Sub-total
dimension</t>
  </si>
  <si>
    <t>Вес нетто Net/Box
净重/箱</t>
  </si>
  <si>
    <t>Вес Брутто Gross/Box</t>
  </si>
  <si>
    <t>小计净重
kg</t>
  </si>
  <si>
    <t>小计毛重
kg</t>
  </si>
  <si>
    <t>Объем в М3 小计体积CMB</t>
  </si>
  <si>
    <t>JK6040</t>
  </si>
  <si>
    <t xml:space="preserve">Laser machine,  Лазерный гравировировальный станок  в комплекте .  </t>
  </si>
  <si>
    <t>JK1060</t>
  </si>
  <si>
    <t>JK1390</t>
  </si>
  <si>
    <t>JK1616</t>
  </si>
  <si>
    <t>Лазерная трубка</t>
  </si>
  <si>
    <t xml:space="preserve">Лазерная трубка EFR F2. Laser tube, EFR brand EFR F2 for laser machine. </t>
  </si>
  <si>
    <t xml:space="preserve"> Laser tube, EFR brand EFR F2 for laser machine. // Лазерная трубка EFR CL1200 . </t>
  </si>
  <si>
    <t xml:space="preserve">Итого Кол-во мест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</si>
</sst>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0.00_);[Red]\(0.00\)"/>
    <numFmt numFmtId="166" formatCode="0.000_);[Red]\(0.000\)"/>
    <numFmt numFmtId="167" formatCode="0_);[Red]\(0\)"/>
  </numFmts>
  <fonts count="17">
    <font>
      <sz val="10.0"/>
      <color rgb="FF000000"/>
      <name val="Arial"/>
      <scheme val="minor"/>
    </font>
    <font>
      <sz val="12.0"/>
      <color theme="1"/>
      <name val="Calibri"/>
    </font>
    <font>
      <b/>
      <color theme="1"/>
      <name val="&quot;Times New Roman&quot;"/>
    </font>
    <font/>
    <font>
      <b/>
      <color rgb="FF000000"/>
      <name val="Arial"/>
    </font>
    <font>
      <color theme="1"/>
      <name val="&quot;Times New Roman&quot;"/>
    </font>
    <font>
      <b/>
      <sz val="11.0"/>
      <color rgb="FF000000"/>
      <name val="&quot;Times New Roman&quot;"/>
    </font>
    <font>
      <color theme="1"/>
      <name val="Arial"/>
      <scheme val="minor"/>
    </font>
    <font>
      <b/>
      <sz val="11.0"/>
      <color theme="1"/>
      <name val="&quot;Times New Roman&quot;"/>
    </font>
    <font>
      <b/>
      <sz val="11.0"/>
      <color theme="1"/>
      <name val="Arial"/>
    </font>
    <font>
      <b/>
      <color rgb="FF000000"/>
      <name val="&quot;Times New Roman&quot;"/>
    </font>
    <font>
      <b/>
      <sz val="11.0"/>
      <color rgb="FF3F3F3F"/>
      <name val="&quot;Times New Roman&quot;"/>
    </font>
    <font>
      <sz val="12.0"/>
      <color theme="1"/>
      <name val="Arial"/>
    </font>
    <font>
      <b/>
      <sz val="12.0"/>
      <color rgb="FF3F3F3F"/>
      <name val="Arial"/>
    </font>
    <font>
      <sz val="12.0"/>
      <color theme="1"/>
      <name val="&quot;Times New Roman&quot;"/>
    </font>
    <font>
      <b/>
      <sz val="11.0"/>
      <color rgb="FF3F3F3F"/>
      <name val="Calibri"/>
    </font>
    <font>
      <b/>
      <sz val="12.0"/>
      <color rgb="FF3F3F3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17">
    <border/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3F3F3F"/>
      </left>
      <right style="thin">
        <color rgb="FF3F3F3F"/>
      </right>
    </border>
    <border>
      <right style="thin">
        <color rgb="FF3F3F3F"/>
      </right>
    </border>
    <border>
      <bottom style="thin">
        <color rgb="FF3F3F3F"/>
      </bottom>
    </border>
    <border>
      <right style="thin">
        <color rgb="FF3F3F3F"/>
      </right>
      <bottom style="thin">
        <color rgb="FF3F3F3F"/>
      </bottom>
    </border>
    <border>
      <left style="thin">
        <color rgb="FF3F3F3F"/>
      </left>
      <right style="thin">
        <color rgb="FF3F3F3F"/>
      </right>
      <bottom style="thin">
        <color rgb="FF000000"/>
      </bottom>
    </border>
    <border>
      <right style="thin">
        <color rgb="FF3F3F3F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3F3F3F"/>
      </bottom>
    </border>
    <border>
      <right style="medium">
        <color rgb="FF000000"/>
      </right>
      <bottom style="thin">
        <color rgb="FF000000"/>
      </bottom>
    </border>
    <border>
      <left style="thin">
        <color rgb="FF3F3F3F"/>
      </left>
      <right style="thin">
        <color rgb="FF3F3F3F"/>
      </right>
      <bottom style="thin">
        <color rgb="FF3F3F3F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2" numFmtId="0" xfId="0" applyAlignment="1" applyBorder="1" applyFont="1">
      <alignment shrinkToFit="0" wrapText="1"/>
    </xf>
    <xf borderId="3" fillId="0" fontId="3" numFmtId="0" xfId="0" applyBorder="1" applyFont="1"/>
    <xf borderId="1" fillId="0" fontId="3" numFmtId="0" xfId="0" applyBorder="1" applyFont="1"/>
    <xf borderId="2" fillId="0" fontId="3" numFmtId="0" xfId="0" applyBorder="1" applyFont="1"/>
    <xf borderId="3" fillId="0" fontId="1" numFmtId="0" xfId="0" applyBorder="1" applyFont="1"/>
    <xf borderId="1" fillId="0" fontId="2" numFmtId="0" xfId="0" applyAlignment="1" applyBorder="1" applyFont="1">
      <alignment horizontal="center"/>
    </xf>
    <xf borderId="4" fillId="0" fontId="3" numFmtId="0" xfId="0" applyBorder="1" applyFont="1"/>
    <xf borderId="1" fillId="0" fontId="4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1" fillId="0" fontId="6" numFmtId="0" xfId="0" applyBorder="1" applyFont="1"/>
    <xf borderId="0" fillId="0" fontId="7" numFmtId="0" xfId="0" applyAlignment="1" applyFont="1">
      <alignment readingOrder="0"/>
    </xf>
    <xf borderId="1" fillId="0" fontId="8" numFmtId="0" xfId="0" applyBorder="1" applyFont="1"/>
    <xf borderId="5" fillId="0" fontId="3" numFmtId="0" xfId="0" applyBorder="1" applyFont="1"/>
    <xf borderId="5" fillId="0" fontId="8" numFmtId="0" xfId="0" applyAlignment="1" applyBorder="1" applyFont="1">
      <alignment horizontal="center" shrinkToFit="0" wrapText="1"/>
    </xf>
    <xf borderId="5" fillId="0" fontId="9" numFmtId="0" xfId="0" applyBorder="1" applyFont="1"/>
    <xf borderId="5" fillId="0" fontId="4" numFmtId="0" xfId="0" applyAlignment="1" applyBorder="1" applyFont="1">
      <alignment shrinkToFit="0" wrapText="1"/>
    </xf>
    <xf borderId="5" fillId="0" fontId="10" numFmtId="0" xfId="0" applyBorder="1" applyFont="1"/>
    <xf borderId="1" fillId="0" fontId="10" numFmtId="0" xfId="0" applyBorder="1" applyFont="1"/>
    <xf borderId="5" fillId="0" fontId="1" numFmtId="0" xfId="0" applyBorder="1" applyFont="1"/>
    <xf borderId="6" fillId="2" fontId="11" numFmtId="0" xfId="0" applyAlignment="1" applyBorder="1" applyFill="1" applyFont="1">
      <alignment horizontal="center" shrinkToFit="0" wrapText="1"/>
    </xf>
    <xf borderId="7" fillId="2" fontId="11" numFmtId="0" xfId="0" applyAlignment="1" applyBorder="1" applyFont="1">
      <alignment horizontal="center" shrinkToFit="0" wrapText="1"/>
    </xf>
    <xf borderId="8" fillId="2" fontId="11" numFmtId="0" xfId="0" applyAlignment="1" applyBorder="1" applyFont="1">
      <alignment horizontal="center" shrinkToFit="0" wrapText="1"/>
    </xf>
    <xf borderId="9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1" fillId="2" fontId="11" numFmtId="0" xfId="0" applyAlignment="1" applyBorder="1" applyFont="1">
      <alignment horizontal="center" shrinkToFit="0" wrapText="1"/>
    </xf>
    <xf borderId="9" fillId="2" fontId="11" numFmtId="0" xfId="0" applyAlignment="1" applyBorder="1" applyFont="1">
      <alignment horizontal="center" shrinkToFit="0" wrapText="1"/>
    </xf>
    <xf borderId="12" fillId="0" fontId="12" numFmtId="0" xfId="0" applyAlignment="1" applyBorder="1" applyFont="1">
      <alignment horizontal="center" shrinkToFit="0" wrapText="1"/>
    </xf>
    <xf borderId="4" fillId="0" fontId="12" numFmtId="0" xfId="0" applyAlignment="1" applyBorder="1" applyFont="1">
      <alignment shrinkToFit="0" wrapText="1"/>
    </xf>
    <xf borderId="13" fillId="0" fontId="13" numFmtId="0" xfId="0" applyAlignment="1" applyBorder="1" applyFont="1">
      <alignment horizontal="center" shrinkToFit="0" wrapText="1"/>
    </xf>
    <xf borderId="4" fillId="0" fontId="13" numFmtId="0" xfId="0" applyAlignment="1" applyBorder="1" applyFont="1">
      <alignment horizontal="center" shrinkToFit="0" wrapText="1"/>
    </xf>
    <xf borderId="4" fillId="0" fontId="12" numFmtId="165" xfId="0" applyAlignment="1" applyBorder="1" applyFont="1" applyNumberFormat="1">
      <alignment horizontal="center"/>
    </xf>
    <xf borderId="14" fillId="0" fontId="12" numFmtId="165" xfId="0" applyAlignment="1" applyBorder="1" applyFont="1" applyNumberFormat="1">
      <alignment horizontal="center"/>
    </xf>
    <xf borderId="4" fillId="0" fontId="14" numFmtId="0" xfId="0" applyAlignment="1" applyBorder="1" applyFont="1">
      <alignment horizontal="center"/>
    </xf>
    <xf borderId="11" fillId="0" fontId="1" numFmtId="0" xfId="0" applyAlignment="1" applyBorder="1" applyFont="1">
      <alignment horizontal="center" shrinkToFit="0" wrapText="1"/>
    </xf>
    <xf borderId="7" fillId="0" fontId="15" numFmtId="2" xfId="0" applyAlignment="1" applyBorder="1" applyFont="1" applyNumberFormat="1">
      <alignment horizontal="center" shrinkToFit="0" wrapText="1"/>
    </xf>
    <xf borderId="4" fillId="0" fontId="12" numFmtId="166" xfId="0" applyAlignment="1" applyBorder="1" applyFont="1" applyNumberFormat="1">
      <alignment horizontal="center"/>
    </xf>
    <xf borderId="14" fillId="0" fontId="12" numFmtId="166" xfId="0" applyAlignment="1" applyBorder="1" applyFont="1" applyNumberFormat="1">
      <alignment horizontal="center"/>
    </xf>
    <xf borderId="9" fillId="0" fontId="13" numFmtId="0" xfId="0" applyAlignment="1" applyBorder="1" applyFont="1">
      <alignment horizontal="center" shrinkToFit="0" wrapText="1"/>
    </xf>
    <xf borderId="7" fillId="0" fontId="13" numFmtId="0" xfId="0" applyAlignment="1" applyBorder="1" applyFont="1">
      <alignment horizontal="center" shrinkToFit="0" wrapText="1"/>
    </xf>
    <xf borderId="3" fillId="0" fontId="1" numFmtId="165" xfId="0" applyAlignment="1" applyBorder="1" applyFont="1" applyNumberFormat="1">
      <alignment horizontal="center" shrinkToFit="0" wrapText="1"/>
    </xf>
    <xf borderId="13" fillId="0" fontId="16" numFmtId="0" xfId="0" applyAlignment="1" applyBorder="1" applyFont="1">
      <alignment horizontal="center" shrinkToFit="0" wrapText="1"/>
    </xf>
    <xf borderId="15" fillId="2" fontId="1" numFmtId="0" xfId="0" applyBorder="1" applyFont="1"/>
    <xf borderId="9" fillId="2" fontId="16" numFmtId="0" xfId="0" applyBorder="1" applyFont="1"/>
    <xf borderId="9" fillId="2" fontId="16" numFmtId="0" xfId="0" applyAlignment="1" applyBorder="1" applyFont="1">
      <alignment horizontal="right"/>
    </xf>
    <xf borderId="9" fillId="2" fontId="16" numFmtId="0" xfId="0" applyAlignment="1" applyBorder="1" applyFont="1">
      <alignment horizontal="center"/>
    </xf>
    <xf borderId="9" fillId="2" fontId="1" numFmtId="0" xfId="0" applyBorder="1" applyFont="1"/>
    <xf borderId="9" fillId="2" fontId="1" numFmtId="167" xfId="0" applyBorder="1" applyFont="1" applyNumberFormat="1"/>
    <xf borderId="9" fillId="2" fontId="16" numFmtId="2" xfId="0" applyAlignment="1" applyBorder="1" applyFont="1" applyNumberFormat="1">
      <alignment horizontal="center"/>
    </xf>
    <xf borderId="16" fillId="0" fontId="1" numFmtId="0" xfId="0" applyAlignment="1" applyBorder="1" applyFont="1">
      <alignment vertical="bottom"/>
    </xf>
    <xf borderId="0" fillId="0" fontId="1" numFmtId="167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13"/>
  </cols>
  <sheetData>
    <row r="1">
      <c r="A1" s="1"/>
      <c r="B1" s="1"/>
      <c r="C1" s="1"/>
      <c r="D1" s="1"/>
      <c r="E1" s="1"/>
      <c r="H1" s="1"/>
      <c r="I1" s="1"/>
      <c r="J1" s="1"/>
      <c r="K1" s="1"/>
      <c r="L1" s="1"/>
    </row>
    <row r="2">
      <c r="A2" s="2"/>
      <c r="B2" s="2"/>
      <c r="C2" s="2"/>
      <c r="D2" s="2"/>
      <c r="H2" s="1"/>
      <c r="I2" s="1"/>
      <c r="J2" s="1"/>
      <c r="K2" s="1"/>
      <c r="L2" s="1"/>
    </row>
    <row r="3">
      <c r="A3" s="3" t="s">
        <v>0</v>
      </c>
      <c r="D3" s="4"/>
      <c r="E3" s="5"/>
      <c r="F3" s="5"/>
      <c r="G3" s="5"/>
      <c r="H3" s="2"/>
      <c r="I3" s="2"/>
      <c r="J3" s="1"/>
      <c r="K3" s="1"/>
      <c r="L3" s="1"/>
    </row>
    <row r="4">
      <c r="A4" s="6"/>
      <c r="D4" s="4"/>
      <c r="E4" s="7"/>
      <c r="F4" s="8" t="s">
        <v>1</v>
      </c>
      <c r="G4" s="9"/>
      <c r="H4" s="10" t="s">
        <v>2</v>
      </c>
      <c r="I4" s="9"/>
      <c r="J4" s="1"/>
      <c r="K4" s="1"/>
      <c r="L4" s="1"/>
    </row>
    <row r="5">
      <c r="A5" s="6"/>
      <c r="D5" s="4"/>
      <c r="E5" s="7"/>
      <c r="F5" s="11">
        <v>45408.0</v>
      </c>
      <c r="G5" s="9"/>
      <c r="H5" s="12" t="s">
        <v>3</v>
      </c>
      <c r="I5" s="9"/>
      <c r="J5" s="1"/>
      <c r="K5" s="1"/>
      <c r="L5" s="1"/>
    </row>
    <row r="6">
      <c r="A6" s="6"/>
      <c r="D6" s="4"/>
      <c r="E6" s="7"/>
      <c r="F6" s="13" t="s">
        <v>4</v>
      </c>
      <c r="G6" s="5"/>
      <c r="H6" s="9"/>
      <c r="I6" s="1"/>
      <c r="J6" s="1"/>
      <c r="K6" s="1"/>
      <c r="L6" s="1"/>
      <c r="M6" s="14" t="s">
        <v>5</v>
      </c>
    </row>
    <row r="7">
      <c r="A7" s="6"/>
      <c r="D7" s="4"/>
      <c r="E7" s="7"/>
      <c r="F7" s="15" t="s">
        <v>6</v>
      </c>
      <c r="G7" s="5"/>
      <c r="H7" s="9"/>
      <c r="I7" s="1"/>
      <c r="J7" s="1"/>
      <c r="K7" s="1"/>
      <c r="L7" s="1"/>
    </row>
    <row r="8">
      <c r="A8" s="16"/>
      <c r="B8" s="5"/>
      <c r="C8" s="5"/>
      <c r="D8" s="9"/>
      <c r="E8" s="1"/>
      <c r="F8" s="1"/>
      <c r="G8" s="1"/>
      <c r="H8" s="1"/>
      <c r="I8" s="1"/>
      <c r="J8" s="1"/>
      <c r="K8" s="1"/>
      <c r="L8" s="1"/>
    </row>
    <row r="9">
      <c r="A9" s="17" t="s">
        <v>7</v>
      </c>
      <c r="B9" s="5"/>
      <c r="C9" s="5"/>
      <c r="D9" s="5"/>
      <c r="E9" s="2"/>
      <c r="F9" s="2"/>
      <c r="G9" s="2"/>
      <c r="H9" s="2"/>
      <c r="I9" s="2"/>
      <c r="J9" s="1"/>
      <c r="K9" s="1"/>
      <c r="L9" s="1"/>
    </row>
    <row r="10">
      <c r="A10" s="18" t="s">
        <v>8</v>
      </c>
      <c r="B10" s="5"/>
      <c r="C10" s="5"/>
      <c r="D10" s="9"/>
      <c r="E10" s="2"/>
      <c r="F10" s="5"/>
      <c r="G10" s="5"/>
      <c r="H10" s="5"/>
      <c r="I10" s="9"/>
      <c r="J10" s="1"/>
      <c r="K10" s="1"/>
      <c r="L10" s="1"/>
    </row>
    <row r="11">
      <c r="A11" s="19" t="s">
        <v>9</v>
      </c>
      <c r="B11" s="5"/>
      <c r="C11" s="5"/>
      <c r="D11" s="5"/>
      <c r="E11" s="5"/>
      <c r="F11" s="5"/>
      <c r="G11" s="5"/>
      <c r="H11" s="5"/>
      <c r="I11" s="9"/>
      <c r="J11" s="1"/>
      <c r="K11" s="1"/>
      <c r="L11" s="1"/>
    </row>
    <row r="12">
      <c r="A12" s="20" t="s">
        <v>10</v>
      </c>
      <c r="B12" s="9"/>
      <c r="C12" s="21" t="s">
        <v>11</v>
      </c>
      <c r="D12" s="9"/>
      <c r="E12" s="2"/>
      <c r="F12" s="5"/>
      <c r="G12" s="5"/>
      <c r="H12" s="5"/>
      <c r="I12" s="9"/>
      <c r="J12" s="1"/>
      <c r="K12" s="1"/>
      <c r="L12" s="1"/>
    </row>
    <row r="13">
      <c r="A13" s="22"/>
      <c r="B13" s="5"/>
      <c r="C13" s="5"/>
      <c r="D13" s="5"/>
      <c r="E13" s="5"/>
      <c r="F13" s="5"/>
      <c r="G13" s="5"/>
      <c r="H13" s="5"/>
      <c r="I13" s="9"/>
      <c r="J13" s="1"/>
      <c r="K13" s="1"/>
      <c r="L13" s="1"/>
    </row>
    <row r="14">
      <c r="A14" s="23" t="s">
        <v>12</v>
      </c>
      <c r="B14" s="24" t="s">
        <v>13</v>
      </c>
      <c r="C14" s="24" t="s">
        <v>14</v>
      </c>
      <c r="D14" s="24" t="s">
        <v>15</v>
      </c>
      <c r="E14" s="25" t="s">
        <v>16</v>
      </c>
      <c r="F14" s="26"/>
      <c r="G14" s="24" t="s">
        <v>17</v>
      </c>
      <c r="H14" s="24" t="s">
        <v>18</v>
      </c>
      <c r="I14" s="24" t="s">
        <v>19</v>
      </c>
      <c r="J14" s="1"/>
      <c r="K14" s="1"/>
      <c r="L14" s="1"/>
    </row>
    <row r="15">
      <c r="A15" s="27"/>
      <c r="B15" s="28"/>
      <c r="C15" s="28"/>
      <c r="D15" s="28"/>
      <c r="E15" s="24" t="s">
        <v>20</v>
      </c>
      <c r="F15" s="24" t="s">
        <v>21</v>
      </c>
      <c r="G15" s="26"/>
      <c r="H15" s="26"/>
      <c r="I15" s="26"/>
      <c r="J15" s="1"/>
      <c r="K15" s="1"/>
      <c r="L15" s="1"/>
    </row>
    <row r="16">
      <c r="A16" s="29"/>
      <c r="B16" s="30"/>
      <c r="C16" s="26"/>
      <c r="D16" s="30"/>
      <c r="E16" s="26"/>
      <c r="F16" s="26"/>
      <c r="G16" s="31" t="s">
        <v>22</v>
      </c>
      <c r="H16" s="31" t="s">
        <v>23</v>
      </c>
      <c r="I16" s="32" t="s">
        <v>24</v>
      </c>
      <c r="J16" s="1"/>
      <c r="K16" s="1"/>
      <c r="L16" s="1"/>
    </row>
    <row r="17">
      <c r="A17" s="33" t="s">
        <v>25</v>
      </c>
      <c r="B17" s="34" t="s">
        <v>26</v>
      </c>
      <c r="C17" s="35">
        <v>1.0</v>
      </c>
      <c r="D17" s="36">
        <v>1.0</v>
      </c>
      <c r="E17" s="37">
        <v>200.0</v>
      </c>
      <c r="F17" s="38">
        <v>242.0</v>
      </c>
      <c r="G17" s="39">
        <f t="shared" ref="G17:G24" si="1">C17*E17</f>
        <v>200</v>
      </c>
      <c r="H17" s="40">
        <f t="shared" ref="H17:H23" si="2">C17*F17</f>
        <v>242</v>
      </c>
      <c r="I17" s="41">
        <v>21.5</v>
      </c>
      <c r="J17" s="1"/>
      <c r="K17" s="1"/>
      <c r="L17" s="1"/>
    </row>
    <row r="18">
      <c r="A18" s="33" t="s">
        <v>25</v>
      </c>
      <c r="B18" s="34" t="s">
        <v>26</v>
      </c>
      <c r="C18" s="35">
        <v>1.0</v>
      </c>
      <c r="D18" s="36">
        <v>1.0</v>
      </c>
      <c r="E18" s="42">
        <v>85.0</v>
      </c>
      <c r="F18" s="43">
        <v>109.0</v>
      </c>
      <c r="G18" s="39">
        <f t="shared" si="1"/>
        <v>85</v>
      </c>
      <c r="H18" s="40">
        <f t="shared" si="2"/>
        <v>109</v>
      </c>
      <c r="I18" s="28"/>
      <c r="J18" s="1"/>
      <c r="K18" s="1"/>
      <c r="L18" s="1"/>
    </row>
    <row r="19">
      <c r="A19" s="33" t="s">
        <v>27</v>
      </c>
      <c r="B19" s="34" t="s">
        <v>26</v>
      </c>
      <c r="C19" s="44">
        <v>2.0</v>
      </c>
      <c r="D19" s="35">
        <v>2.0</v>
      </c>
      <c r="E19" s="37">
        <v>325.0</v>
      </c>
      <c r="F19" s="38">
        <v>350.0</v>
      </c>
      <c r="G19" s="39">
        <f t="shared" si="1"/>
        <v>650</v>
      </c>
      <c r="H19" s="40">
        <f t="shared" si="2"/>
        <v>700</v>
      </c>
      <c r="I19" s="28"/>
      <c r="J19" s="1"/>
      <c r="K19" s="1"/>
      <c r="L19" s="1"/>
    </row>
    <row r="20">
      <c r="A20" s="33" t="s">
        <v>27</v>
      </c>
      <c r="B20" s="34" t="s">
        <v>26</v>
      </c>
      <c r="C20" s="44">
        <v>2.0</v>
      </c>
      <c r="D20" s="35">
        <v>2.0</v>
      </c>
      <c r="E20" s="37">
        <v>247.0</v>
      </c>
      <c r="F20" s="38">
        <v>265.0</v>
      </c>
      <c r="G20" s="39">
        <f t="shared" si="1"/>
        <v>494</v>
      </c>
      <c r="H20" s="40">
        <f t="shared" si="2"/>
        <v>530</v>
      </c>
      <c r="I20" s="28"/>
      <c r="J20" s="1"/>
      <c r="K20" s="1"/>
      <c r="L20" s="1"/>
    </row>
    <row r="21">
      <c r="A21" s="33" t="s">
        <v>27</v>
      </c>
      <c r="B21" s="34" t="s">
        <v>26</v>
      </c>
      <c r="C21" s="44">
        <v>1.0</v>
      </c>
      <c r="D21" s="35">
        <v>1.0</v>
      </c>
      <c r="E21" s="37">
        <v>200.0</v>
      </c>
      <c r="F21" s="38">
        <v>236.0</v>
      </c>
      <c r="G21" s="39">
        <f t="shared" si="1"/>
        <v>200</v>
      </c>
      <c r="H21" s="40">
        <f t="shared" si="2"/>
        <v>236</v>
      </c>
      <c r="I21" s="28"/>
      <c r="J21" s="1"/>
      <c r="K21" s="1"/>
      <c r="L21" s="1"/>
    </row>
    <row r="22">
      <c r="A22" s="33" t="s">
        <v>27</v>
      </c>
      <c r="B22" s="34" t="s">
        <v>26</v>
      </c>
      <c r="C22" s="44">
        <v>1.0</v>
      </c>
      <c r="D22" s="35">
        <v>1.0</v>
      </c>
      <c r="E22" s="37">
        <v>227.0</v>
      </c>
      <c r="F22" s="38">
        <v>320.0</v>
      </c>
      <c r="G22" s="39">
        <f t="shared" si="1"/>
        <v>227</v>
      </c>
      <c r="H22" s="40">
        <f t="shared" si="2"/>
        <v>320</v>
      </c>
      <c r="I22" s="28"/>
      <c r="J22" s="1"/>
      <c r="K22" s="1"/>
      <c r="L22" s="1"/>
    </row>
    <row r="23">
      <c r="A23" s="33" t="s">
        <v>28</v>
      </c>
      <c r="B23" s="34" t="s">
        <v>26</v>
      </c>
      <c r="C23" s="44">
        <v>1.0</v>
      </c>
      <c r="D23" s="35">
        <v>1.0</v>
      </c>
      <c r="E23" s="37">
        <v>300.0</v>
      </c>
      <c r="F23" s="38">
        <v>358.0</v>
      </c>
      <c r="G23" s="39">
        <f t="shared" si="1"/>
        <v>300</v>
      </c>
      <c r="H23" s="40">
        <f t="shared" si="2"/>
        <v>358</v>
      </c>
      <c r="I23" s="28"/>
      <c r="J23" s="1"/>
      <c r="K23" s="1"/>
      <c r="L23" s="1"/>
    </row>
    <row r="24">
      <c r="A24" s="33" t="s">
        <v>29</v>
      </c>
      <c r="B24" s="34" t="s">
        <v>26</v>
      </c>
      <c r="C24" s="45">
        <v>1.0</v>
      </c>
      <c r="D24" s="35">
        <v>1.0</v>
      </c>
      <c r="E24" s="37">
        <v>700.0</v>
      </c>
      <c r="F24" s="38">
        <v>751.0</v>
      </c>
      <c r="G24" s="39">
        <f t="shared" si="1"/>
        <v>700</v>
      </c>
      <c r="H24" s="46">
        <f>SUM(F24:F26)</f>
        <v>757.8</v>
      </c>
      <c r="I24" s="28"/>
      <c r="J24" s="1"/>
      <c r="K24" s="1"/>
      <c r="L24" s="1"/>
    </row>
    <row r="25">
      <c r="A25" s="33" t="s">
        <v>30</v>
      </c>
      <c r="B25" s="34" t="s">
        <v>31</v>
      </c>
      <c r="C25" s="28"/>
      <c r="D25" s="47">
        <v>1.0</v>
      </c>
      <c r="E25" s="39">
        <v>3.2</v>
      </c>
      <c r="F25" s="38">
        <v>3.5</v>
      </c>
      <c r="G25" s="39">
        <f t="shared" ref="G25:G26" si="3">D25*E25</f>
        <v>3.2</v>
      </c>
      <c r="H25" s="4"/>
      <c r="I25" s="28"/>
      <c r="J25" s="1"/>
      <c r="K25" s="1"/>
      <c r="L25" s="1"/>
    </row>
    <row r="26">
      <c r="A26" s="33" t="s">
        <v>30</v>
      </c>
      <c r="B26" s="34" t="s">
        <v>32</v>
      </c>
      <c r="C26" s="26"/>
      <c r="D26" s="47">
        <v>1.0</v>
      </c>
      <c r="E26" s="39">
        <v>2.9</v>
      </c>
      <c r="F26" s="38">
        <v>3.3</v>
      </c>
      <c r="G26" s="39">
        <f t="shared" si="3"/>
        <v>2.9</v>
      </c>
      <c r="H26" s="9"/>
      <c r="I26" s="28"/>
      <c r="J26" s="1"/>
      <c r="K26" s="1"/>
      <c r="L26" s="1"/>
    </row>
    <row r="27">
      <c r="A27" s="48"/>
      <c r="B27" s="49" t="s">
        <v>33</v>
      </c>
      <c r="C27" s="50">
        <f t="shared" ref="C27:D27" si="4">SUM(C17:C26)</f>
        <v>10</v>
      </c>
      <c r="D27" s="51">
        <f t="shared" si="4"/>
        <v>12</v>
      </c>
      <c r="E27" s="52"/>
      <c r="F27" s="53"/>
      <c r="G27" s="54">
        <f t="shared" ref="G27:H27" si="5">SUM(G17:G26)</f>
        <v>2862.1</v>
      </c>
      <c r="H27" s="54">
        <f t="shared" si="5"/>
        <v>3252.8</v>
      </c>
      <c r="I27" s="26"/>
      <c r="J27" s="1"/>
      <c r="K27" s="1"/>
      <c r="L27" s="1"/>
    </row>
    <row r="28">
      <c r="A28" s="55"/>
      <c r="B28" s="1"/>
      <c r="C28" s="1"/>
      <c r="D28" s="1"/>
      <c r="E28" s="1"/>
      <c r="F28" s="56"/>
      <c r="G28" s="57"/>
      <c r="H28" s="57"/>
      <c r="I28" s="1"/>
      <c r="J28" s="1"/>
      <c r="K28" s="1"/>
      <c r="L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</sheetData>
  <mergeCells count="29">
    <mergeCell ref="E10:I10"/>
    <mergeCell ref="A11:I11"/>
    <mergeCell ref="E12:I12"/>
    <mergeCell ref="A13:I13"/>
    <mergeCell ref="E1:G3"/>
    <mergeCell ref="F4:G4"/>
    <mergeCell ref="H4:I4"/>
    <mergeCell ref="F5:G5"/>
    <mergeCell ref="H5:I5"/>
    <mergeCell ref="F6:H6"/>
    <mergeCell ref="F7:H7"/>
    <mergeCell ref="A3:D8"/>
    <mergeCell ref="A9:D9"/>
    <mergeCell ref="A10:D10"/>
    <mergeCell ref="A12:B12"/>
    <mergeCell ref="C12:D12"/>
    <mergeCell ref="A14:A16"/>
    <mergeCell ref="B14:B16"/>
    <mergeCell ref="C24:C26"/>
    <mergeCell ref="I14:I15"/>
    <mergeCell ref="I17:I27"/>
    <mergeCell ref="H24:H26"/>
    <mergeCell ref="C14:C16"/>
    <mergeCell ref="D14:D16"/>
    <mergeCell ref="E14:F14"/>
    <mergeCell ref="G14:G15"/>
    <mergeCell ref="H14:H15"/>
    <mergeCell ref="E15:E16"/>
    <mergeCell ref="F15:F16"/>
  </mergeCells>
  <drawing r:id="rId1"/>
</worksheet>
</file>