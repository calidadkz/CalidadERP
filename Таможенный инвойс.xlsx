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" sheetId="1" r:id="rId5"/>
    <sheet state="visible" name="Лист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tc={05c7ad36-6458-48da-b842-715413fb9b59}</author>
    <author>tc={62df7316-057b-4f71-ac93-08545dd5c9dc}</author>
    <author>tc={9b0151a4-6ede-456d-9e87-0f496ee18452}</author>
    <author>tc={a1f9798f-701e-40ba-8e03-c5dcfe685ff5}</author>
    <author>tc={e436c241-0192-4a13-93b5-e901e586f1a6}</author>
  </authors>
  <commentList>
    <comment authorId="0" ref="I1">
      <text>
        <t xml:space="preserve">так должны называться поля в Инвойсе поставщика:
Payer Это Калидад
Recipient это Liaocheng</t>
      </text>
    </comment>
    <comment authorId="0" ref="A2">
      <text>
        <t xml:space="preserve">SellerTxt</t>
      </text>
    </comment>
    <comment authorId="0" ref="E2">
      <text>
        <t xml:space="preserve">Region hibrid</t>
      </text>
    </comment>
    <comment authorId="0" ref="H2">
      <text>
        <t xml:space="preserve">Берется из Компании "Название как получателя денег"</t>
      </text>
    </comment>
    <comment authorId="0" ref="E3">
      <text>
        <t xml:space="preserve">Validity</t>
      </text>
    </comment>
    <comment authorId="0" ref="H3">
      <text>
        <t xml:space="preserve">Это тип Country , 
берется из Города компании (покупатель по ЗП) в юрадресе</t>
      </text>
    </comment>
    <comment authorId="0" ref="H4">
      <text>
        <t xml:space="preserve">берется из Компании "Название как плательщика"
</t>
      </text>
    </comment>
    <comment authorId="0" ref="E5">
      <text>
        <t xml:space="preserve">From parent.Supplier.Name</t>
      </text>
    </comment>
    <comment authorId="0" ref="H5">
      <text>
        <t xml:space="preserve">берется из компании "Название"</t>
      </text>
    </comment>
    <comment authorId="0" ref="E6">
      <text>
        <t xml:space="preserve">DocNumber</t>
      </text>
    </comment>
    <comment authorId="0" ref="H6">
      <text>
        <t xml:space="preserve">OurEmployee подставляется из заказа поставщика (если инвойс делается из ЗП) "Ответственный от покупателя". Берется его "имя по английски". Иначе надо выбрать его руками</t>
      </text>
    </comment>
    <comment authorId="0" ref="I6">
      <text>
        <t xml:space="preserve">берется из Компании</t>
      </text>
    </comment>
    <comment authorId="0" ref="E7">
      <text>
        <t xml:space="preserve">DocDate</t>
      </text>
    </comment>
    <comment authorId="0" ref="H7">
      <text>
        <t xml:space="preserve">OurEmployee подставляется из заказа поставщика (если инвойс делается из ЗП) "Ответственный от покупателя". Берется его "имя по английски". Иначе надо выбрать его руками</t>
      </text>
    </comment>
    <comment authorId="0" ref="E8">
      <text>
        <t xml:space="preserve">parent.Contract.DocNumber</t>
      </text>
    </comment>
    <comment authorId="0" ref="H8">
      <text>
        <t xml:space="preserve">берется из Компании №базовый телефон"</t>
      </text>
    </comment>
    <comment authorId="0" ref="E9">
      <text>
        <t xml:space="preserve">parent.Contract.DocDate</t>
      </text>
    </comment>
    <comment authorId="0" ref="A10">
      <text>
        <t xml:space="preserve">ShippingAddress.NameEng</t>
      </text>
    </comment>
    <comment authorId="1" xr:uid="{05c7ad36-6458-48da-b842-715413fb9b59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Придется сумму писать руками
</t>
      </text>
    </comment>
    <comment authorId="2" xr:uid="{62df7316-057b-4f71-ac93-08545dd5c9dc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почтовый адрес?
</t>
      </text>
    </comment>
    <comment authorId="3" xr:uid="{9b0151a4-6ede-456d-9e87-0f496ee18452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 прописью, надо функцию писать.
Reply:
	Придется сумму писать руками
Помечено как решенное
</t>
      </text>
    </comment>
    <comment authorId="4" xr:uid="{a1f9798f-701e-40ba-8e03-c5dcfe685ff5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проверить что есть в покупателе (компания) регион-компании
</t>
      </text>
    </comment>
    <comment authorId="5" xr:uid="{e436c241-0192-4a13-93b5-e901e586f1a6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регион плательщика. Берется из parent.Buyer.Region
</t>
      </text>
    </comment>
  </commentList>
</comments>
</file>

<file path=xl/sharedStrings.xml><?xml version="1.0" encoding="utf-8"?>
<sst xmlns="http://schemas.openxmlformats.org/spreadsheetml/2006/main" count="128" uniqueCount="107">
  <si>
    <t xml:space="preserve"> Invoice</t>
  </si>
  <si>
    <t>SELLER:BENEFICIARY’S NAME：LIAOCHENG DEVELOPMENT ZONE JINGKE LASER 
EQUIPMENT CO,LTD.</t>
  </si>
  <si>
    <r>
      <rPr>
        <rFont val="Times New Roman"/>
        <b/>
        <color theme="1"/>
        <sz val="18.0"/>
      </rPr>
      <t>Region:</t>
    </r>
    <r>
      <rPr>
        <rFont val="Times New Roman"/>
        <color theme="1"/>
        <sz val="18.0"/>
      </rPr>
      <t xml:space="preserve"> Kazakhstan </t>
    </r>
  </si>
  <si>
    <t xml:space="preserve">Зеленый цвет </t>
  </si>
  <si>
    <r>
      <rPr>
        <rFont val="Times New Roman"/>
        <b/>
        <color theme="1"/>
        <sz val="18.0"/>
      </rPr>
      <t>Validity:</t>
    </r>
    <r>
      <rPr>
        <rFont val="Times New Roman"/>
        <b val="0"/>
        <color theme="1"/>
        <sz val="18.0"/>
      </rPr>
      <t xml:space="preserve"> </t>
    </r>
  </si>
  <si>
    <t>BUYER: TOO Калидад «CALIDAD»Kazakhstan, сity Karaganda, St. Respublika Kazakhstan Karagandinskaya oblast', gorod Saran' ulica Timiryazeva 8/1,                                                                                                       БИН: 161140001283</t>
  </si>
  <si>
    <r>
      <rPr>
        <rFont val="Times New Roman"/>
        <b/>
        <color theme="1"/>
        <sz val="18.0"/>
      </rPr>
      <t xml:space="preserve">From: </t>
    </r>
    <r>
      <rPr>
        <rFont val="Times New Roman"/>
        <b val="0"/>
        <color theme="1"/>
        <sz val="18.0"/>
      </rPr>
      <t>From: LIAOCHENG</t>
    </r>
  </si>
  <si>
    <r>
      <rPr>
        <rFont val="Times New Roman"/>
        <b/>
        <color theme="1"/>
        <sz val="18.0"/>
      </rPr>
      <t xml:space="preserve">Attn: </t>
    </r>
    <r>
      <rPr>
        <rFont val="Times New Roman"/>
        <b val="0"/>
        <color theme="1"/>
        <sz val="18.0"/>
      </rPr>
      <t>Mr. Khurashvili Evgeniy</t>
    </r>
  </si>
  <si>
    <r>
      <rPr>
        <rFont val="&quot;Times New Roman&quot;"/>
        <b/>
        <color rgb="FF000000"/>
        <sz val="18.0"/>
      </rPr>
      <t xml:space="preserve">Invoice No.: </t>
    </r>
    <r>
      <rPr>
        <rFont val="&quot;Times New Roman&quot;"/>
        <b val="0"/>
        <color rgb="FF000000"/>
        <sz val="18.0"/>
      </rPr>
      <t>250424</t>
    </r>
  </si>
  <si>
    <r>
      <rPr>
        <rFont val="Times New Roman"/>
        <b/>
        <color theme="1"/>
        <sz val="18.0"/>
      </rPr>
      <t xml:space="preserve">Tel: </t>
    </r>
    <r>
      <rPr>
        <rFont val="Times New Roman"/>
        <b val="0"/>
        <color theme="1"/>
        <sz val="18.0"/>
      </rPr>
      <t xml:space="preserve"> +77079202820</t>
    </r>
  </si>
  <si>
    <r>
      <rPr>
        <rFont val="&quot;Times New Roman&quot;"/>
        <b/>
        <color rgb="FF000000"/>
        <sz val="18.0"/>
      </rPr>
      <t>Invoice Date:</t>
    </r>
    <r>
      <rPr>
        <rFont val="&quot;Times New Roman&quot;"/>
        <b val="0"/>
        <color rgb="FF000000"/>
        <sz val="18.0"/>
      </rPr>
      <t xml:space="preserve"> 26.04.24</t>
    </r>
  </si>
  <si>
    <r>
      <rPr>
        <rFont val="Times New Roman"/>
        <b/>
        <color theme="1"/>
        <sz val="18.0"/>
      </rPr>
      <t xml:space="preserve">Fax:  </t>
    </r>
    <r>
      <rPr>
        <rFont val="Times New Roman"/>
        <b val="0"/>
        <color rgb="FF1155CC"/>
        <sz val="18.0"/>
        <u/>
      </rPr>
      <t>http://calidad.kz/</t>
    </r>
  </si>
  <si>
    <r>
      <rPr>
        <rFont val="&quot;Times New Roman&quot;"/>
        <b/>
        <color rgb="FF000000"/>
        <sz val="18.0"/>
      </rPr>
      <t>Contract No.:</t>
    </r>
    <r>
      <rPr>
        <rFont val="&quot;Times New Roman&quot;"/>
        <b val="0"/>
        <color rgb="FF000000"/>
        <sz val="18.0"/>
      </rPr>
      <t xml:space="preserve">  24/2</t>
    </r>
  </si>
  <si>
    <r>
      <rPr>
        <rFont val="Times New Roman"/>
        <b/>
        <color theme="1"/>
        <sz val="18.0"/>
      </rPr>
      <t>Payment term:</t>
    </r>
    <r>
      <rPr>
        <rFont val="Times New Roman"/>
        <b val="0"/>
        <color theme="1"/>
        <sz val="18.0"/>
      </rPr>
      <t xml:space="preserve">  100% T/T payment before delivery</t>
    </r>
  </si>
  <si>
    <r>
      <rPr>
        <rFont val="&quot;Times New Roman&quot;"/>
        <b/>
        <color rgb="FF000000"/>
        <sz val="18.0"/>
      </rPr>
      <t>Contract Date:</t>
    </r>
    <r>
      <rPr>
        <rFont val="&quot;Times New Roman&quot;"/>
        <b val="0"/>
        <color rgb="FF000000"/>
        <sz val="18.0"/>
      </rPr>
      <t xml:space="preserve"> 01.01.24</t>
    </r>
  </si>
  <si>
    <r>
      <rPr>
        <rFont val="Times New Roman"/>
        <b/>
        <color theme="1"/>
        <sz val="18.0"/>
      </rPr>
      <t xml:space="preserve">Adress: </t>
    </r>
    <r>
      <rPr>
        <rFont val="Times New Roman"/>
        <b val="0"/>
        <color theme="1"/>
        <sz val="18.0"/>
      </rPr>
      <t xml:space="preserve"> Kazakhstan, сity Karaganda, St. Respublika Kazakhstan Karagandinskaya oblast', gorod Saran' ulica Timiryazeva 8/1,                                                                                                       БИН: 161140001283</t>
    </r>
  </si>
  <si>
    <t>Item</t>
  </si>
  <si>
    <t>Model</t>
  </si>
  <si>
    <t>Description/Спецификация</t>
  </si>
  <si>
    <t>Код</t>
  </si>
  <si>
    <t>Quantity Кол-во</t>
  </si>
  <si>
    <t xml:space="preserve">Unit Price(USD)
</t>
  </si>
  <si>
    <r>
      <rPr>
        <rFont val="Times New Roman"/>
        <b/>
        <color theme="1"/>
        <sz val="17.0"/>
      </rPr>
      <t>Sub Total (</t>
    </r>
    <r>
      <rPr>
        <rFont val="Times New Roman"/>
        <b/>
        <color rgb="FFFF0000"/>
        <sz val="17.0"/>
      </rPr>
      <t>USD</t>
    </r>
    <r>
      <rPr>
        <rFont val="Times New Roman"/>
        <b/>
        <color theme="1"/>
        <sz val="17.0"/>
      </rPr>
      <t xml:space="preserve">)
</t>
    </r>
  </si>
  <si>
    <t>JK6040</t>
  </si>
  <si>
    <t xml:space="preserve">Laser machine,  Лазерный гравировировальный станок  в комплекте .  </t>
  </si>
  <si>
    <t>JK1060</t>
  </si>
  <si>
    <t>JK1390</t>
  </si>
  <si>
    <t>JK1616</t>
  </si>
  <si>
    <t>Лазерная трубка</t>
  </si>
  <si>
    <t xml:space="preserve">Лазерная трубка EFR F2. Laser tube, EFR brand EFR F2 for laser machine. </t>
  </si>
  <si>
    <t xml:space="preserve"> Laser tube, EFR brand EFR F2 for laser machine. // Лазерная трубка EFR CL1200 . </t>
  </si>
  <si>
    <t>Total</t>
  </si>
  <si>
    <t>SAY USD Sixteen thousand nine hundred eleven ONLY</t>
  </si>
  <si>
    <t>Note:</t>
  </si>
  <si>
    <t>56A: Intermediary Bank's Name SWIFT BIC: CITIUS33 CITIBANK NA., NEW YORK
57A: Beneficiary's Bank's Name SWIFT BIC: JNSHCNBN QILU BANK CO., LTD
59: Beneficiary’s Account No,Name and Address :
Account Number:86612004199628800012
Name:LIAOCHENG DEVELOPMENT ZONE JINGKE LASER EQUIPMENT CO,LTD. 
Address:60METERS TO THE SOUTH AND 200METERS TO THE INTERSECTION OF ZHONGHUA ROAD AND HUNAN ROAD</t>
  </si>
  <si>
    <t>Trademark/Торговая марка</t>
  </si>
  <si>
    <t>LIAOCHENG DEVELOPMENT ZONE JINGKE LASER 
 EQUIPMENT CO,LTD.</t>
  </si>
  <si>
    <t>Manufacturer/Производитель</t>
  </si>
  <si>
    <t>Terms &amp; Conditions:</t>
  </si>
  <si>
    <t>Terms of Shipment: EXW (Liaocheng)</t>
  </si>
  <si>
    <t>Delivery time: Inform when confirm the PO, normally 25 workdays.</t>
  </si>
  <si>
    <t>Warranty:</t>
  </si>
  <si>
    <t>Remark: : Wooden case packing</t>
  </si>
  <si>
    <r>
      <rPr>
        <rFont val="Calibri"/>
        <color theme="1"/>
        <sz val="10.0"/>
      </rPr>
      <t xml:space="preserve">в платежном документе / ЗП
Payer/Customer - плательщик/покупатель </t>
    </r>
    <r>
      <rPr>
        <rFont val="Calibri"/>
        <b/>
        <color rgb="FF1155CC"/>
        <sz val="10.0"/>
      </rPr>
      <t>Калидад</t>
    </r>
    <r>
      <rPr>
        <rFont val="Calibri"/>
        <color theme="1"/>
        <sz val="10.0"/>
      </rPr>
      <t xml:space="preserve">
Recipient/Supplier - получатель/поставщик </t>
    </r>
    <r>
      <rPr>
        <rFont val="Calibri"/>
        <b/>
        <color rgb="FFBF9000"/>
        <sz val="10.0"/>
      </rPr>
      <t>Liaocheng</t>
    </r>
  </si>
  <si>
    <r>
      <rPr>
        <rFont val="Times New Roman"/>
        <b/>
        <color rgb="FF000000"/>
        <sz val="12.0"/>
      </rPr>
      <t>SELLER:BENEFICIARY’S NAME：</t>
    </r>
    <r>
      <rPr>
        <rFont val="Times New Roman"/>
        <b/>
        <color rgb="FF000000"/>
        <sz val="12.0"/>
      </rPr>
      <t>{SellerTxt}</t>
    </r>
  </si>
  <si>
    <r>
      <rPr>
        <rFont val="Times New Roman"/>
        <b/>
        <color rgb="FF000000"/>
        <sz val="12.0"/>
      </rPr>
      <t>Region:</t>
    </r>
    <r>
      <rPr>
        <rFont val="Times New Roman"/>
        <color rgb="FF000000"/>
        <sz val="12.0"/>
      </rPr>
      <t xml:space="preserve"> </t>
    </r>
    <r>
      <rPr>
        <rFont val="Times New Roman"/>
        <b/>
        <color rgb="FF000000"/>
        <sz val="12.0"/>
      </rPr>
      <t>{BuyerRegion}</t>
    </r>
  </si>
  <si>
    <r>
      <rPr>
        <rFont val="Times New Roman"/>
        <b/>
        <color rgb="FF000000"/>
        <sz val="12.0"/>
      </rPr>
      <t>Validity:</t>
    </r>
    <r>
      <rPr>
        <rFont val="Times New Roman"/>
        <b val="0"/>
        <color rgb="FF000000"/>
        <sz val="12.0"/>
      </rPr>
      <t xml:space="preserve"> </t>
    </r>
    <r>
      <rPr>
        <rFont val="Times New Roman"/>
        <b/>
        <color rgb="FF000000"/>
        <sz val="12.0"/>
      </rPr>
      <t>{Validity}</t>
    </r>
  </si>
  <si>
    <r>
      <rPr>
        <rFont val="Times New Roman"/>
        <b/>
        <color rgb="FF000000"/>
        <sz val="12.0"/>
      </rPr>
      <t>BUYER:</t>
    </r>
    <r>
      <rPr>
        <rFont val="Times New Roman"/>
        <b/>
        <color rgb="FF000000"/>
        <sz val="12.0"/>
      </rPr>
      <t xml:space="preserve"> {BuyerTxt}</t>
    </r>
  </si>
  <si>
    <r>
      <rPr>
        <rFont val="Times New Roman"/>
        <b/>
        <color rgb="FF000000"/>
        <sz val="12.0"/>
      </rPr>
      <t xml:space="preserve">From: </t>
    </r>
    <r>
      <rPr>
        <rFont val="Times New Roman"/>
        <b/>
        <color rgb="FF000000"/>
        <sz val="12.0"/>
      </rPr>
      <t>{SellerName}</t>
    </r>
  </si>
  <si>
    <r>
      <rPr>
        <rFont val="Times New Roman"/>
        <b/>
        <color rgb="FF000000"/>
        <sz val="12.0"/>
      </rPr>
      <t xml:space="preserve">Attn: </t>
    </r>
    <r>
      <rPr>
        <rFont val="Times New Roman"/>
        <b val="0"/>
        <color rgb="FF000000"/>
        <sz val="12.0"/>
      </rPr>
      <t>{Attn}</t>
    </r>
  </si>
  <si>
    <r>
      <rPr>
        <rFont val="&quot;Times New Roman&quot;"/>
        <b/>
        <color rgb="FF000000"/>
        <sz val="12.0"/>
      </rPr>
      <t xml:space="preserve">Invoice No.: </t>
    </r>
    <r>
      <rPr>
        <rFont val="&quot;Times New Roman&quot;"/>
        <b/>
        <color rgb="FF000000"/>
        <sz val="12.0"/>
      </rPr>
      <t>{DocNumber}</t>
    </r>
  </si>
  <si>
    <r>
      <rPr>
        <rFont val="Times New Roman"/>
        <b/>
        <color rgb="FF000000"/>
        <sz val="12.0"/>
      </rPr>
      <t xml:space="preserve">Tel: </t>
    </r>
    <r>
      <rPr>
        <rFont val="Times New Roman"/>
        <b/>
        <color rgb="FF000000"/>
        <sz val="12.0"/>
      </rPr>
      <t>{BuyerMainPhone}</t>
    </r>
  </si>
  <si>
    <r>
      <rPr>
        <rFont val="&quot;Times New Roman&quot;"/>
        <b/>
        <color rgb="FF000000"/>
        <sz val="12.0"/>
      </rPr>
      <t>Invoice Date:</t>
    </r>
    <r>
      <rPr>
        <rFont val="&quot;Times New Roman&quot;"/>
        <b val="0"/>
        <color rgb="FF000000"/>
        <sz val="12.0"/>
      </rPr>
      <t xml:space="preserve"> </t>
    </r>
    <r>
      <rPr>
        <rFont val="&quot;Times New Roman&quot;"/>
        <b/>
        <color rgb="FF000000"/>
        <sz val="12.0"/>
      </rPr>
      <t>{DocDate}</t>
    </r>
  </si>
  <si>
    <r>
      <rPr>
        <rFont val="Times New Roman"/>
        <color rgb="FF000000"/>
        <sz val="12.0"/>
      </rPr>
      <t xml:space="preserve">Fax:         </t>
    </r>
    <r>
      <rPr>
        <rFont val="Times New Roman"/>
        <color rgb="FF000000"/>
        <sz val="12.0"/>
      </rPr>
      <t>{BuyerMainFax}</t>
    </r>
    <r>
      <rPr>
        <rFont val="Times New Roman"/>
        <color rgb="FF000000"/>
        <sz val="12.0"/>
      </rPr>
      <t xml:space="preserve">                                   </t>
    </r>
    <r>
      <rPr>
        <rFont val="Times New Roman"/>
        <color rgb="FF000000"/>
        <sz val="12.0"/>
      </rPr>
      <t>{BuyerWebSite}</t>
    </r>
  </si>
  <si>
    <r>
      <rPr>
        <rFont val="&quot;Times New Roman&quot;"/>
        <b/>
        <color rgb="FF000000"/>
        <sz val="12.0"/>
      </rPr>
      <t>Contract No.:</t>
    </r>
    <r>
      <rPr>
        <rFont val="&quot;Times New Roman&quot;"/>
        <b val="0"/>
        <color rgb="FF000000"/>
        <sz val="12.0"/>
      </rPr>
      <t xml:space="preserve">  </t>
    </r>
    <r>
      <rPr>
        <rFont val="&quot;Times New Roman&quot;"/>
        <b/>
        <color rgb="FF000000"/>
        <sz val="12.0"/>
      </rPr>
      <t>{ContractNumber}</t>
    </r>
  </si>
  <si>
    <r>
      <rPr>
        <rFont val="Times New Roman"/>
        <b/>
        <color rgb="FF000000"/>
        <sz val="12.0"/>
      </rPr>
      <t xml:space="preserve">Payment term: </t>
    </r>
    <r>
      <rPr>
        <rFont val="Times New Roman"/>
        <b/>
        <color rgb="FF000000"/>
        <sz val="12.0"/>
      </rPr>
      <t xml:space="preserve"> {PaymentTerm}</t>
    </r>
  </si>
  <si>
    <r>
      <rPr>
        <rFont val="&quot;Times New Roman&quot;"/>
        <b/>
        <color rgb="FF000000"/>
        <sz val="12.0"/>
      </rPr>
      <t>Contract Date:</t>
    </r>
    <r>
      <rPr>
        <rFont val="&quot;Times New Roman&quot;"/>
        <b val="0"/>
        <color rgb="FF000000"/>
        <sz val="12.0"/>
      </rPr>
      <t xml:space="preserve"> </t>
    </r>
    <r>
      <rPr>
        <rFont val="&quot;Times New Roman&quot;"/>
        <b/>
        <color rgb="FF000000"/>
        <sz val="12.0"/>
      </rPr>
      <t>{ContractDate}</t>
    </r>
  </si>
  <si>
    <r>
      <rPr>
        <rFont val="Times New Roman"/>
        <b/>
        <color rgb="FF000000"/>
        <sz val="12.0"/>
      </rPr>
      <t xml:space="preserve">Adress: </t>
    </r>
    <r>
      <rPr>
        <rFont val="Times New Roman"/>
        <b/>
        <color rgb="FF000000"/>
        <sz val="12.0"/>
      </rPr>
      <t xml:space="preserve"> </t>
    </r>
    <r>
      <rPr>
        <rFont val="Times New Roman"/>
        <b/>
        <color rgb="FF000000"/>
        <sz val="12.0"/>
      </rPr>
      <t>{BuyerEngAddressForInvoice}</t>
    </r>
  </si>
  <si>
    <t>PayCurrencyTxt</t>
  </si>
  <si>
    <t>Валюта платежа</t>
  </si>
  <si>
    <t>PriceCurrencyTxt</t>
  </si>
  <si>
    <t>Валюта цены</t>
  </si>
  <si>
    <r>
      <rPr>
        <rFont val="Times New Roman"/>
        <b/>
        <color theme="1"/>
        <sz val="10.0"/>
      </rPr>
      <t>Unit Price(</t>
    </r>
    <r>
      <rPr>
        <rFont val="Times New Roman"/>
        <b/>
        <color rgb="FFFF0000"/>
        <sz val="10.0"/>
      </rPr>
      <t>{PriceCurrencyTxt}</t>
    </r>
    <r>
      <rPr>
        <rFont val="Times New Roman"/>
        <b/>
        <color theme="1"/>
        <sz val="10.0"/>
      </rPr>
      <t>)</t>
    </r>
  </si>
  <si>
    <r>
      <rPr>
        <rFont val="Times New Roman"/>
        <b/>
        <color theme="1"/>
        <sz val="10.0"/>
      </rPr>
      <t>Sub Total (</t>
    </r>
    <r>
      <rPr>
        <rFont val="Times New Roman"/>
        <b/>
        <color rgb="FFFF0000"/>
        <sz val="10.0"/>
      </rPr>
      <t>{PriceCurrencyTxt}</t>
    </r>
    <r>
      <rPr>
        <rFont val="Times New Roman"/>
        <b/>
        <color theme="1"/>
        <sz val="10.0"/>
      </rPr>
      <t>)</t>
    </r>
  </si>
  <si>
    <t>Price</t>
  </si>
  <si>
    <t>Цена по прайсу (юани)</t>
  </si>
  <si>
    <t>PriceInPayCurrency</t>
  </si>
  <si>
    <t>цена в валюте платежа</t>
  </si>
  <si>
    <r>
      <rPr>
        <rFont val="Times New Roman"/>
        <color rgb="FF000000"/>
        <sz val="12.0"/>
      </rPr>
      <t xml:space="preserve">{#Positions} </t>
    </r>
    <r>
      <rPr>
        <rFont val="Times New Roman"/>
        <color rgb="FF000000"/>
        <sz val="12.0"/>
      </rPr>
      <t>{Item}</t>
    </r>
  </si>
  <si>
    <t>{NameForSupplier}</t>
  </si>
  <si>
    <t>{DescriptionName}</t>
  </si>
  <si>
    <t>{TNVEDCode}</t>
  </si>
  <si>
    <t>{Quantity}</t>
  </si>
  <si>
    <t>{Price}</t>
  </si>
  <si>
    <r>
      <rPr>
        <rFont val="&quot;Times New Roman&quot;"/>
        <b/>
        <color rgb="FF000000"/>
        <sz val="11.0"/>
      </rPr>
      <t xml:space="preserve">{Amount} </t>
    </r>
    <r>
      <rPr>
        <rFont val="&quot;Times New Roman&quot;"/>
        <b/>
        <color rgb="FF000000"/>
        <sz val="11.0"/>
      </rPr>
      <t>{/Positions}</t>
    </r>
  </si>
  <si>
    <t>Amount</t>
  </si>
  <si>
    <t>Сума в цене по прайсу (цена*количество)</t>
  </si>
  <si>
    <t>AmountInPayCurrency</t>
  </si>
  <si>
    <t>Сума в цене в валюте платежа</t>
  </si>
  <si>
    <t>{TotalQuantity}</t>
  </si>
  <si>
    <t>{TotalAmount}</t>
  </si>
  <si>
    <t>TotalAmount</t>
  </si>
  <si>
    <t>Общая сумма в валюте цены по прайсу</t>
  </si>
  <si>
    <t>TotalAmountInPayCurrency</t>
  </si>
  <si>
    <t>Общая сумма в валюте платежа</t>
  </si>
  <si>
    <r>
      <rPr>
        <rFont val="Times New Roman"/>
        <b/>
        <color rgb="FF000000"/>
        <sz val="12.0"/>
      </rPr>
      <t xml:space="preserve">SAY </t>
    </r>
    <r>
      <rPr>
        <rFont val="Times New Roman"/>
        <b/>
        <color rgb="FF000000"/>
        <sz val="12.0"/>
      </rPr>
      <t>{PriceCurrencyTxt} {AmountInWords}</t>
    </r>
  </si>
  <si>
    <t>TotalAmountT</t>
  </si>
  <si>
    <t>Сумма в Тенге</t>
  </si>
  <si>
    <t>TotalQuantity</t>
  </si>
  <si>
    <t>Итого количество</t>
  </si>
  <si>
    <r>
      <rPr>
        <rFont val="Times New Roman"/>
        <b/>
        <color rgb="FF000000"/>
        <sz val="12.0"/>
      </rPr>
      <t xml:space="preserve">Note: </t>
    </r>
    <r>
      <rPr>
        <rFont val="Times New Roman"/>
        <b/>
        <color rgb="FF000000"/>
        <sz val="12.0"/>
      </rPr>
      <t>{Note}</t>
    </r>
  </si>
  <si>
    <r>
      <rPr>
        <rFont val="Times New Roman"/>
        <b/>
        <color rgb="FF000000"/>
        <sz val="12.0"/>
      </rPr>
      <t xml:space="preserve">56A: Intermediary Bank's Name SWIFT BIC: </t>
    </r>
    <r>
      <rPr>
        <rFont val="Times New Roman"/>
        <b/>
        <color rgb="FF000000"/>
        <sz val="12.0"/>
      </rPr>
      <t>{IntermediaryBank}</t>
    </r>
    <r>
      <rPr>
        <rFont val="Times New Roman"/>
        <b/>
        <color rgb="FF000000"/>
        <sz val="12.0"/>
      </rPr>
      <t xml:space="preserve">
57A: Beneficiary's Bank's Name SWIFT BIC:</t>
    </r>
    <r>
      <rPr>
        <rFont val="Times New Roman"/>
        <b/>
        <color rgb="FF000000"/>
        <sz val="12.0"/>
      </rPr>
      <t xml:space="preserve"> {BeneficiaryBank}</t>
    </r>
    <r>
      <rPr>
        <rFont val="Times New Roman"/>
        <b/>
        <color rgb="FF000000"/>
        <sz val="12.0"/>
      </rPr>
      <t xml:space="preserve">
59: Beneficiary’s Account No,Name and Address :
Account Number:</t>
    </r>
    <r>
      <rPr>
        <rFont val="Times New Roman"/>
        <b/>
        <color rgb="FF000000"/>
        <sz val="12.0"/>
      </rPr>
      <t xml:space="preserve"> {BeneficiaryAccountNo}</t>
    </r>
    <r>
      <rPr>
        <rFont val="Times New Roman"/>
        <b/>
        <color rgb="FF000000"/>
        <sz val="12.0"/>
      </rPr>
      <t xml:space="preserve">
Name: </t>
    </r>
    <r>
      <rPr>
        <rFont val="Times New Roman"/>
        <b/>
        <color rgb="FF000000"/>
        <sz val="12.0"/>
      </rPr>
      <t>{SellerTxt}</t>
    </r>
    <r>
      <rPr>
        <rFont val="Times New Roman"/>
        <b/>
        <color rgb="FF000000"/>
        <sz val="12.0"/>
      </rPr>
      <t xml:space="preserve">   
Address: </t>
    </r>
    <r>
      <rPr>
        <rFont val="Times New Roman"/>
        <b/>
        <color rgb="FF000000"/>
        <sz val="12.0"/>
      </rPr>
      <t>{ShippingAddressEngTxt}</t>
    </r>
  </si>
  <si>
    <t>Trademark/Торговая марка: {Trademark}</t>
  </si>
  <si>
    <t>Это поставщик</t>
  </si>
  <si>
    <t>Manufacturer/Производитель: {Manufacturer}</t>
  </si>
  <si>
    <t>Terms &amp; Conditions: {TermsEndConditions}</t>
  </si>
  <si>
    <t>Условия и положения</t>
  </si>
  <si>
    <t>Terms of Shipment: EXW (Liaocheng): {TermsOfShipment}</t>
  </si>
  <si>
    <t>Условие поставки</t>
  </si>
  <si>
    <t>Delivery time: {DeliveryTime}</t>
  </si>
  <si>
    <t>Срок отгрузки</t>
  </si>
  <si>
    <t>Warranty: {Warranty}</t>
  </si>
  <si>
    <t>Гарантия</t>
  </si>
  <si>
    <t>Remark: {Remark}</t>
  </si>
  <si>
    <t>Примечание</t>
  </si>
  <si>
    <t>комиссия банка %%</t>
  </si>
  <si>
    <t>комиссия банка в этой сумме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</si>
</sst>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#,##0.00"/>
    <numFmt numFmtId="165" formatCode="0.0"/>
    <numFmt numFmtId="166" formatCode="[$р.-419]#,##0.00"/>
  </numFmts>
  <fonts count="36">
    <font>
      <sz val="10.0"/>
      <color rgb="FF000000"/>
      <name val="Arial"/>
      <scheme val="minor"/>
    </font>
    <font>
      <sz val="13.0"/>
      <color theme="1"/>
      <name val="Times New Roman"/>
    </font>
    <font>
      <sz val="14.0"/>
      <color theme="1"/>
      <name val="Times New Roman"/>
    </font>
    <font>
      <b/>
      <sz val="36.0"/>
      <color theme="1"/>
      <name val="Times New Roman"/>
    </font>
    <font/>
    <font>
      <sz val="12.0"/>
      <color theme="1"/>
      <name val="Times New Roman"/>
    </font>
    <font>
      <sz val="18.0"/>
      <color theme="1"/>
      <name val="Times New Roman"/>
    </font>
    <font>
      <b/>
      <sz val="18.0"/>
      <color theme="1"/>
      <name val="Times New Roman"/>
    </font>
    <font>
      <b/>
      <sz val="18.0"/>
      <color rgb="FF000000"/>
      <name val="&quot;Times New Roman&quot;"/>
    </font>
    <font>
      <b/>
      <u/>
      <sz val="18.0"/>
      <color theme="1"/>
      <name val="Times New Roman"/>
    </font>
    <font>
      <b/>
      <sz val="17.0"/>
      <color theme="1"/>
      <name val="Times New Roman"/>
    </font>
    <font>
      <sz val="17.0"/>
      <color theme="1"/>
      <name val="Times New Roman"/>
    </font>
    <font>
      <sz val="16.0"/>
      <color rgb="FF000000"/>
      <name val="Times New Roman"/>
    </font>
    <font>
      <sz val="12.0"/>
      <color theme="1"/>
      <name val="Arial"/>
    </font>
    <font>
      <sz val="16.0"/>
      <color theme="1"/>
      <name val="Times New Roman"/>
    </font>
    <font>
      <sz val="14.0"/>
      <color theme="1"/>
      <name val="Arial"/>
    </font>
    <font>
      <b/>
      <sz val="14.0"/>
      <color theme="1"/>
      <name val="Arial"/>
    </font>
    <font>
      <b/>
      <sz val="16.0"/>
      <color rgb="FF000000"/>
      <name val="Times New Roman"/>
    </font>
    <font>
      <sz val="12.0"/>
      <color rgb="FF6AA84F"/>
      <name val="Times New Roman"/>
    </font>
    <font>
      <b/>
      <i/>
      <sz val="10.0"/>
      <color rgb="FF741B47"/>
      <name val="Arial"/>
    </font>
    <font>
      <sz val="10.0"/>
      <color theme="1"/>
      <name val="Calibri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0.0"/>
      <color rgb="FF741B47"/>
      <name val="Arial"/>
    </font>
    <font>
      <b/>
      <sz val="10.0"/>
      <color rgb="FF741B47"/>
      <name val="Calibri"/>
    </font>
    <font>
      <b/>
      <sz val="10.0"/>
      <color rgb="FF1155CC"/>
      <name val="Arial"/>
    </font>
    <font>
      <b/>
      <sz val="12.0"/>
      <color rgb="FF000000"/>
      <name val="&quot;Times New Roman&quot;"/>
    </font>
    <font>
      <b/>
      <sz val="10.0"/>
      <color theme="1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b/>
      <sz val="11.0"/>
      <color rgb="FF000000"/>
      <name val="&quot;Times New Roman&quot;"/>
    </font>
    <font>
      <b/>
      <sz val="9.0"/>
      <color rgb="FF1155CC"/>
      <name val="&quot;Google Sans&quot;"/>
    </font>
    <font>
      <b/>
      <sz val="9.0"/>
      <color rgb="FF38761D"/>
      <name val="&quot;docs-Google Sans&quot;"/>
    </font>
    <font>
      <b/>
      <sz val="9.0"/>
      <color rgb="FF38761D"/>
      <name val="Google Sa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0" fillId="0" fontId="5" numFmtId="0" xfId="0" applyAlignment="1" applyFont="1">
      <alignment vertical="center"/>
    </xf>
    <xf borderId="2" fillId="2" fontId="6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readingOrder="0" vertical="center"/>
    </xf>
    <xf borderId="6" fillId="0" fontId="4" numFmtId="0" xfId="0" applyBorder="1" applyFont="1"/>
    <xf borderId="7" fillId="0" fontId="4" numFmtId="0" xfId="0" applyBorder="1" applyFont="1"/>
    <xf borderId="0" fillId="0" fontId="5" numFmtId="0" xfId="0" applyAlignment="1" applyFont="1">
      <alignment readingOrder="0" vertical="center"/>
    </xf>
    <xf borderId="8" fillId="0" fontId="4" numFmtId="0" xfId="0" applyBorder="1" applyFont="1"/>
    <xf borderId="9" fillId="0" fontId="4" numFmtId="0" xfId="0" applyBorder="1" applyFont="1"/>
    <xf borderId="10" fillId="0" fontId="6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readingOrder="0" vertical="center"/>
    </xf>
    <xf borderId="5" fillId="2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readingOrder="0" shrinkToFit="0" vertical="center" wrapText="1"/>
    </xf>
    <xf borderId="5" fillId="2" fontId="7" numFmtId="0" xfId="0" applyAlignment="1" applyBorder="1" applyFont="1">
      <alignment horizontal="left" readingOrder="0" vertical="center"/>
    </xf>
    <xf borderId="10" fillId="0" fontId="7" numFmtId="0" xfId="0" applyAlignment="1" applyBorder="1" applyFont="1">
      <alignment horizontal="left" vertical="center"/>
    </xf>
    <xf borderId="5" fillId="0" fontId="8" numFmtId="0" xfId="0" applyBorder="1" applyFont="1"/>
    <xf borderId="5" fillId="2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vertical="center"/>
    </xf>
    <xf borderId="8" fillId="0" fontId="8" numFmtId="0" xfId="0" applyBorder="1" applyFont="1"/>
    <xf borderId="5" fillId="2" fontId="9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0" fillId="2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1" fillId="3" fontId="10" numFmtId="0" xfId="0" applyAlignment="1" applyBorder="1" applyFill="1" applyFont="1">
      <alignment horizontal="center" shrinkToFit="0" vertical="center" wrapText="1"/>
    </xf>
    <xf borderId="12" fillId="3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5" fillId="2" fontId="12" numFmtId="0" xfId="0" applyAlignment="1" applyBorder="1" applyFont="1">
      <alignment horizontal="center" vertical="center"/>
    </xf>
    <xf borderId="10" fillId="2" fontId="13" numFmtId="0" xfId="0" applyAlignment="1" applyBorder="1" applyFont="1">
      <alignment horizontal="center" readingOrder="0" shrinkToFit="0" wrapText="1"/>
    </xf>
    <xf borderId="10" fillId="2" fontId="14" numFmtId="0" xfId="0" applyAlignment="1" applyBorder="1" applyFont="1">
      <alignment horizontal="left" readingOrder="0" shrinkToFit="0" vertical="center" wrapText="1"/>
    </xf>
    <xf borderId="7" fillId="0" fontId="14" numFmtId="0" xfId="0" applyAlignment="1" applyBorder="1" applyFont="1">
      <alignment horizontal="left" shrinkToFit="0" vertical="center" wrapText="1"/>
    </xf>
    <xf borderId="10" fillId="0" fontId="13" numFmtId="0" xfId="0" applyAlignment="1" applyBorder="1" applyFont="1">
      <alignment horizontal="center"/>
    </xf>
    <xf borderId="10" fillId="0" fontId="15" numFmtId="164" xfId="0" applyAlignment="1" applyBorder="1" applyFont="1" applyNumberFormat="1">
      <alignment shrinkToFit="0" wrapText="1"/>
    </xf>
    <xf borderId="10" fillId="0" fontId="14" numFmtId="2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13" fillId="0" fontId="13" numFmtId="0" xfId="0" applyAlignment="1" applyBorder="1" applyFont="1">
      <alignment horizontal="center"/>
    </xf>
    <xf borderId="5" fillId="2" fontId="12" numFmtId="0" xfId="0" applyAlignment="1" applyBorder="1" applyFont="1">
      <alignment horizontal="center" readingOrder="0" vertical="center"/>
    </xf>
    <xf borderId="13" fillId="2" fontId="13" numFmtId="0" xfId="0" applyAlignment="1" applyBorder="1" applyFont="1">
      <alignment horizontal="center" readingOrder="0" shrinkToFit="0" wrapText="1"/>
    </xf>
    <xf borderId="13" fillId="0" fontId="13" numFmtId="0" xfId="0" applyAlignment="1" applyBorder="1" applyFont="1">
      <alignment horizontal="center" readingOrder="0"/>
    </xf>
    <xf borderId="10" fillId="0" fontId="15" numFmtId="164" xfId="0" applyAlignment="1" applyBorder="1" applyFont="1" applyNumberFormat="1">
      <alignment readingOrder="0" shrinkToFit="0" wrapText="1"/>
    </xf>
    <xf borderId="10" fillId="0" fontId="14" numFmtId="0" xfId="0" applyAlignment="1" applyBorder="1" applyFont="1">
      <alignment horizontal="left" shrinkToFit="0" vertical="center" wrapText="1"/>
    </xf>
    <xf borderId="10" fillId="2" fontId="12" numFmtId="0" xfId="0" applyAlignment="1" applyBorder="1" applyFont="1">
      <alignment horizontal="center" readingOrder="0" vertical="center"/>
    </xf>
    <xf borderId="10" fillId="2" fontId="16" numFmtId="0" xfId="0" applyAlignment="1" applyBorder="1" applyFont="1">
      <alignment readingOrder="0" shrinkToFit="0" wrapText="1"/>
    </xf>
    <xf borderId="13" fillId="2" fontId="1" numFmtId="0" xfId="0" applyAlignment="1" applyBorder="1" applyFont="1">
      <alignment shrinkToFit="0" vertical="center" wrapText="1"/>
    </xf>
    <xf borderId="10" fillId="0" fontId="14" numFmtId="0" xfId="0" applyAlignment="1" applyBorder="1" applyFont="1">
      <alignment horizontal="left" readingOrder="0" shrinkToFit="0" vertical="center" wrapText="1"/>
    </xf>
    <xf borderId="10" fillId="0" fontId="14" numFmtId="0" xfId="0" applyAlignment="1" applyBorder="1" applyFont="1">
      <alignment horizontal="center" readingOrder="0" vertical="center"/>
    </xf>
    <xf borderId="13" fillId="2" fontId="17" numFmtId="0" xfId="0" applyAlignment="1" applyBorder="1" applyFont="1">
      <alignment horizontal="center" shrinkToFit="0" vertical="center" wrapText="1"/>
    </xf>
    <xf borderId="14" fillId="0" fontId="17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horizontal="center" vertical="center"/>
    </xf>
    <xf borderId="11" fillId="0" fontId="14" numFmtId="165" xfId="0" applyAlignment="1" applyBorder="1" applyFont="1" applyNumberFormat="1">
      <alignment horizontal="center" vertical="center"/>
    </xf>
    <xf borderId="11" fillId="0" fontId="14" numFmtId="2" xfId="0" applyAlignment="1" applyBorder="1" applyFont="1" applyNumberFormat="1">
      <alignment horizontal="center" vertical="center"/>
    </xf>
    <xf borderId="2" fillId="2" fontId="7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left" readingOrder="0"/>
    </xf>
    <xf borderId="6" fillId="2" fontId="8" numFmtId="0" xfId="0" applyAlignment="1" applyBorder="1" applyFont="1">
      <alignment horizontal="left" readingOrder="0"/>
    </xf>
    <xf borderId="7" fillId="0" fontId="7" numFmtId="0" xfId="0" applyAlignment="1" applyBorder="1" applyFont="1">
      <alignment horizontal="left" shrinkToFit="0" vertical="center" wrapText="1"/>
    </xf>
    <xf borderId="2" fillId="2" fontId="8" numFmtId="0" xfId="0" applyAlignment="1" applyBorder="1" applyFont="1">
      <alignment horizontal="left" readingOrder="0" shrinkToFit="0" wrapText="0"/>
    </xf>
    <xf borderId="4" fillId="0" fontId="7" numFmtId="0" xfId="0" applyAlignment="1" applyBorder="1" applyFont="1">
      <alignment horizontal="left" vertical="center"/>
    </xf>
    <xf borderId="15" fillId="2" fontId="8" numFmtId="0" xfId="0" applyAlignment="1" applyBorder="1" applyFont="1">
      <alignment horizontal="left" readingOrder="0" shrinkToFit="0" wrapText="0"/>
    </xf>
    <xf borderId="16" fillId="0" fontId="7" numFmtId="0" xfId="0" applyAlignment="1" applyBorder="1" applyFont="1">
      <alignment horizontal="left" vertical="center"/>
    </xf>
    <xf borderId="8" fillId="2" fontId="8" numFmtId="0" xfId="0" applyAlignment="1" applyBorder="1" applyFont="1">
      <alignment horizontal="left" readingOrder="0" shrinkToFit="0" wrapText="0"/>
    </xf>
    <xf borderId="9" fillId="0" fontId="7" numFmtId="0" xfId="0" applyAlignment="1" applyBorder="1" applyFont="1">
      <alignment horizontal="left" vertical="center"/>
    </xf>
    <xf borderId="0" fillId="2" fontId="5" numFmtId="0" xfId="0" applyAlignment="1" applyFont="1">
      <alignment vertical="center"/>
    </xf>
    <xf borderId="0" fillId="2" fontId="6" numFmtId="0" xfId="0" applyAlignment="1" applyFont="1">
      <alignment vertical="center"/>
    </xf>
    <xf borderId="0" fillId="2" fontId="18" numFmtId="0" xfId="0" applyAlignment="1" applyFont="1">
      <alignment readingOrder="0" vertical="center"/>
    </xf>
    <xf borderId="1" fillId="2" fontId="3" numFmtId="0" xfId="0" applyAlignment="1" applyBorder="1" applyFont="1">
      <alignment horizontal="center" vertical="center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vertical="center"/>
    </xf>
    <xf borderId="2" fillId="2" fontId="21" numFmtId="0" xfId="0" applyAlignment="1" applyBorder="1" applyFont="1">
      <alignment horizontal="left" readingOrder="0" shrinkToFit="0" vertical="center" wrapText="1"/>
    </xf>
    <xf borderId="5" fillId="2" fontId="22" numFmtId="0" xfId="0" applyAlignment="1" applyBorder="1" applyFont="1">
      <alignment horizontal="left" readingOrder="0" vertical="center"/>
    </xf>
    <xf borderId="0" fillId="2" fontId="23" numFmtId="0" xfId="0" applyAlignment="1" applyFont="1">
      <alignment readingOrder="0" vertical="center"/>
    </xf>
    <xf borderId="0" fillId="0" fontId="24" numFmtId="0" xfId="0" applyAlignment="1" applyFont="1">
      <alignment readingOrder="0" vertical="center"/>
    </xf>
    <xf borderId="5" fillId="2" fontId="21" numFmtId="0" xfId="0" applyAlignment="1" applyBorder="1" applyFont="1">
      <alignment horizontal="left" readingOrder="0" vertical="center"/>
    </xf>
    <xf borderId="0" fillId="2" fontId="25" numFmtId="0" xfId="0" applyAlignment="1" applyFont="1">
      <alignment readingOrder="0" vertical="center"/>
    </xf>
    <xf borderId="5" fillId="2" fontId="21" numFmtId="0" xfId="0" applyAlignment="1" applyBorder="1" applyFont="1">
      <alignment horizontal="center" vertical="center"/>
    </xf>
    <xf borderId="5" fillId="2" fontId="21" numFmtId="0" xfId="0" applyAlignment="1" applyBorder="1" applyFont="1">
      <alignment horizontal="left" readingOrder="0" shrinkToFit="0" vertical="center" wrapText="1"/>
    </xf>
    <xf borderId="0" fillId="0" fontId="24" numFmtId="0" xfId="0" applyAlignment="1" applyFont="1">
      <alignment readingOrder="0" vertical="center"/>
    </xf>
    <xf borderId="5" fillId="2" fontId="26" numFmtId="0" xfId="0" applyAlignment="1" applyBorder="1" applyFont="1">
      <alignment readingOrder="0"/>
    </xf>
    <xf borderId="1" fillId="2" fontId="22" numFmtId="0" xfId="0" applyAlignment="1" applyBorder="1" applyFont="1">
      <alignment readingOrder="0" vertical="center"/>
    </xf>
    <xf borderId="8" fillId="2" fontId="26" numFmtId="0" xfId="0" applyAlignment="1" applyBorder="1" applyFont="1">
      <alignment readingOrder="0"/>
    </xf>
    <xf borderId="0" fillId="0" fontId="27" numFmtId="0" xfId="0" applyAlignment="1" applyFont="1">
      <alignment readingOrder="0" vertical="center"/>
    </xf>
    <xf borderId="0" fillId="0" fontId="28" numFmtId="0" xfId="0" applyAlignment="1" applyFont="1">
      <alignment readingOrder="0" vertical="center"/>
    </xf>
    <xf borderId="10" fillId="2" fontId="29" numFmtId="0" xfId="0" applyAlignment="1" applyBorder="1" applyFont="1">
      <alignment horizontal="center" shrinkToFit="0" vertical="center" wrapText="1"/>
    </xf>
    <xf borderId="11" fillId="2" fontId="29" numFmtId="0" xfId="0" applyAlignment="1" applyBorder="1" applyFont="1">
      <alignment horizontal="center" shrinkToFit="0" vertical="center" wrapText="1"/>
    </xf>
    <xf borderId="10" fillId="2" fontId="27" numFmtId="0" xfId="0" applyAlignment="1" applyBorder="1" applyFont="1">
      <alignment horizontal="center" readingOrder="0" shrinkToFit="0" vertical="center" wrapText="1"/>
    </xf>
    <xf borderId="0" fillId="2" fontId="23" numFmtId="0" xfId="0" applyAlignment="1" applyFont="1">
      <alignment readingOrder="0" shrinkToFit="0" vertical="center" wrapText="1"/>
    </xf>
    <xf borderId="0" fillId="0" fontId="28" numFmtId="0" xfId="0" applyAlignment="1" applyFont="1">
      <alignment vertical="center"/>
    </xf>
    <xf borderId="5" fillId="2" fontId="22" numFmtId="0" xfId="0" applyAlignment="1" applyBorder="1" applyFont="1">
      <alignment horizontal="center" readingOrder="0" vertical="center"/>
    </xf>
    <xf borderId="10" fillId="2" fontId="30" numFmtId="0" xfId="0" applyAlignment="1" applyBorder="1" applyFont="1">
      <alignment horizontal="center" readingOrder="0" shrinkToFit="0" wrapText="1"/>
    </xf>
    <xf borderId="10" fillId="2" fontId="31" numFmtId="164" xfId="0" applyAlignment="1" applyBorder="1" applyFont="1" applyNumberFormat="1">
      <alignment horizontal="center" readingOrder="0"/>
    </xf>
    <xf borderId="10" fillId="2" fontId="31" numFmtId="164" xfId="0" applyAlignment="1" applyBorder="1" applyFont="1" applyNumberFormat="1">
      <alignment horizontal="center" readingOrder="0" shrinkToFit="0" wrapText="1"/>
    </xf>
    <xf borderId="5" fillId="2" fontId="22" numFmtId="0" xfId="0" applyAlignment="1" applyBorder="1" applyFont="1">
      <alignment horizontal="center" vertical="center"/>
    </xf>
    <xf borderId="13" fillId="2" fontId="21" numFmtId="0" xfId="0" applyAlignment="1" applyBorder="1" applyFont="1">
      <alignment horizontal="center" shrinkToFit="0" vertical="center" wrapText="1"/>
    </xf>
    <xf borderId="14" fillId="2" fontId="21" numFmtId="0" xfId="0" applyAlignment="1" applyBorder="1" applyFont="1">
      <alignment horizontal="center" shrinkToFit="0" vertical="center" wrapText="1"/>
    </xf>
    <xf borderId="10" fillId="2" fontId="30" numFmtId="0" xfId="0" applyAlignment="1" applyBorder="1" applyFont="1">
      <alignment horizontal="center" readingOrder="0" shrinkToFit="0" vertical="center" wrapText="1"/>
    </xf>
    <xf borderId="5" fillId="2" fontId="31" numFmtId="2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vertical="center"/>
    </xf>
    <xf borderId="0" fillId="2" fontId="32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5" fillId="2" fontId="26" numFmtId="0" xfId="0" applyAlignment="1" applyBorder="1" applyFont="1">
      <alignment horizontal="left" readingOrder="0"/>
    </xf>
    <xf borderId="0" fillId="2" fontId="33" numFmtId="0" xfId="0" applyAlignment="1" applyFont="1">
      <alignment horizontal="left" readingOrder="0"/>
    </xf>
    <xf borderId="0" fillId="2" fontId="34" numFmtId="0" xfId="0" applyAlignment="1" applyFont="1">
      <alignment horizontal="left" readingOrder="0"/>
    </xf>
    <xf borderId="0" fillId="0" fontId="35" numFmtId="0" xfId="0" applyAlignment="1" applyFont="1">
      <alignment readingOrder="0"/>
    </xf>
    <xf borderId="0" fillId="0" fontId="20" numFmtId="0" xfId="0" applyAlignment="1" applyFont="1">
      <alignment vertical="center"/>
    </xf>
    <xf borderId="0" fillId="0" fontId="5" numFmtId="166" xfId="0" applyAlignment="1" applyFont="1" applyNumberFormat="1">
      <alignment readingOrder="0" vertical="center"/>
    </xf>
    <xf borderId="0" fillId="0" fontId="5" numFmtId="16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vel DV" id="{b89fc521-109f-4404-a899-b82d0ec73bb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" dT="2024-10-01T09:08:36.00" personId="{b89fc521-109f-4404-a899-b82d0ec73bbe}" id="{e436c241-0192-4a13-93b5-e901e586f1a6}" done="1">
    <x18tc:text xml:space="preserve">регион плательщика. Берется из parent.Buyer.Region</x18tc:text>
  </x18tc:threadedComment>
  <x18tc:threadedComment ref="H3" dT="2024-10-01T09:09:52.00" personId="{b89fc521-109f-4404-a899-b82d0ec73bbe}" id="{a1f9798f-701e-40ba-8e03-c5dcfe685ff5}" done="1">
    <x18tc:text xml:space="preserve">проверить что есть в покупателе (компания) регион-компании</x18tc:text>
  </x18tc:threadedComment>
  <x18tc:threadedComment ref="A10" dT="2024-10-01T13:29:54.00" personId="{b89fc521-109f-4404-a899-b82d0ec73bbe}" id="{62df7316-057b-4f71-ac93-08545dd5c9dc}" done="1">
    <x18tc:text xml:space="preserve">Это почтовый адрес?</x18tc:text>
  </x18tc:threadedComment>
  <x18tc:threadedComment ref="A15" dT="2024-12-05T08:24:54.00" personId="{b89fc521-109f-4404-a899-b82d0ec73bbe}" id="{05c7ad36-6458-48da-b842-715413fb9b59}" done="1">
    <x18tc:text xml:space="preserve">Придется сумму писать руками</x18tc:text>
  </x18tc:threadedComment>
  <x18tc:threadedComment ref="A14" dT="2024-10-01T08:19:04.00" personId="{b89fc521-109f-4404-a899-b82d0ec73bbe}" id="{9b0151a4-6ede-456d-9e87-0f496ee18452}" done="1">
    <x18tc:text xml:space="preserve">Сумма прописью, надо функцию писать.</x18tc:text>
  </x18tc:threadedComment>
  <x18tc:threadedComment ref="A14" dT="2024-12-05T08:24:41.00" personId="{b89fc521-109f-4404-a899-b82d0ec73bbe}" id="{483e939a-86b2-4109-8033-3892faf06504}" parentId="{9b0151a4-6ede-456d-9e87-0f496ee18452}">
    <x18tc:text xml:space="preserve">Придется сумму писать руками
Помечено как решенное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lidad.kz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4.0"/>
    <col customWidth="1" min="3" max="3" width="53.63"/>
    <col customWidth="1" min="4" max="4" width="24.38"/>
    <col customWidth="1" min="5" max="5" width="11.75"/>
    <col customWidth="1" min="6" max="6" width="23.0"/>
    <col customWidth="1" min="7" max="7" width="26.5"/>
    <col customWidth="1" min="8" max="26" width="7.88"/>
  </cols>
  <sheetData>
    <row r="1" ht="63.75" customHeight="1">
      <c r="A1" s="1"/>
      <c r="D1" s="2"/>
      <c r="E1" s="3" t="s">
        <v>0</v>
      </c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6.0" customHeight="1">
      <c r="A2" s="6" t="s">
        <v>1</v>
      </c>
      <c r="B2" s="7"/>
      <c r="C2" s="8"/>
      <c r="D2" s="9"/>
      <c r="E2" s="10" t="s">
        <v>2</v>
      </c>
      <c r="F2" s="11"/>
      <c r="G2" s="12"/>
      <c r="H2" s="5"/>
      <c r="I2" s="5"/>
      <c r="J2" s="13" t="s">
        <v>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66.0" customHeight="1">
      <c r="A3" s="14"/>
      <c r="B3" s="4"/>
      <c r="C3" s="15"/>
      <c r="D3" s="16"/>
      <c r="E3" s="17" t="s">
        <v>4</v>
      </c>
      <c r="F3" s="11"/>
      <c r="G3" s="1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1"/>
      <c r="C4" s="11"/>
      <c r="D4" s="11"/>
      <c r="E4" s="11"/>
      <c r="F4" s="11"/>
      <c r="G4" s="1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70.5" customHeight="1">
      <c r="A5" s="19" t="s">
        <v>5</v>
      </c>
      <c r="B5" s="11"/>
      <c r="C5" s="12"/>
      <c r="D5" s="20"/>
      <c r="E5" s="21" t="s">
        <v>6</v>
      </c>
      <c r="F5" s="11"/>
      <c r="G5" s="12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0" customHeight="1">
      <c r="A6" s="22" t="s">
        <v>7</v>
      </c>
      <c r="B6" s="11"/>
      <c r="C6" s="12"/>
      <c r="D6" s="23"/>
      <c r="E6" s="24" t="s">
        <v>8</v>
      </c>
      <c r="F6" s="11"/>
      <c r="G6" s="12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25" t="s">
        <v>9</v>
      </c>
      <c r="B7" s="11"/>
      <c r="C7" s="12"/>
      <c r="D7" s="26"/>
      <c r="E7" s="27" t="s">
        <v>10</v>
      </c>
      <c r="F7" s="4"/>
      <c r="G7" s="1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28" t="s">
        <v>11</v>
      </c>
      <c r="B8" s="11"/>
      <c r="C8" s="12"/>
      <c r="D8" s="29"/>
      <c r="E8" s="27" t="s">
        <v>12</v>
      </c>
      <c r="F8" s="4"/>
      <c r="G8" s="1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3.0" customHeight="1">
      <c r="A9" s="19" t="s">
        <v>13</v>
      </c>
      <c r="B9" s="11"/>
      <c r="C9" s="12"/>
      <c r="D9" s="29"/>
      <c r="E9" s="27" t="s">
        <v>14</v>
      </c>
      <c r="F9" s="4"/>
      <c r="G9" s="1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50.25" customHeight="1">
      <c r="A10" s="19" t="s">
        <v>15</v>
      </c>
      <c r="B10" s="11"/>
      <c r="C10" s="11"/>
      <c r="D10" s="11"/>
      <c r="E10" s="11"/>
      <c r="F10" s="11"/>
      <c r="G10" s="1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5.5" customHeight="1">
      <c r="A11" s="30" t="s">
        <v>16</v>
      </c>
      <c r="B11" s="31" t="s">
        <v>17</v>
      </c>
      <c r="C11" s="31" t="s">
        <v>18</v>
      </c>
      <c r="D11" s="32" t="s">
        <v>19</v>
      </c>
      <c r="E11" s="32" t="s">
        <v>20</v>
      </c>
      <c r="F11" s="33" t="s">
        <v>21</v>
      </c>
      <c r="G11" s="34" t="s">
        <v>22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45.75" customHeight="1">
      <c r="A12" s="36">
        <v>1.0</v>
      </c>
      <c r="B12" s="37" t="s">
        <v>23</v>
      </c>
      <c r="C12" s="38" t="s">
        <v>24</v>
      </c>
      <c r="D12" s="39">
        <v>8.45611E9</v>
      </c>
      <c r="E12" s="40">
        <v>1.0</v>
      </c>
      <c r="F12" s="41">
        <v>1108.0</v>
      </c>
      <c r="G12" s="42">
        <f t="shared" ref="G12:G21" si="1">E12*F12</f>
        <v>1108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45.75" customHeight="1">
      <c r="A13" s="36">
        <v>2.0</v>
      </c>
      <c r="B13" s="37" t="s">
        <v>23</v>
      </c>
      <c r="C13" s="38" t="s">
        <v>24</v>
      </c>
      <c r="D13" s="39">
        <v>8.45611E9</v>
      </c>
      <c r="E13" s="44">
        <v>1.0</v>
      </c>
      <c r="F13" s="41">
        <v>808.0</v>
      </c>
      <c r="G13" s="42">
        <f t="shared" si="1"/>
        <v>808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45.75" customHeight="1">
      <c r="A14" s="45">
        <v>6.0</v>
      </c>
      <c r="B14" s="46" t="s">
        <v>25</v>
      </c>
      <c r="C14" s="38" t="s">
        <v>24</v>
      </c>
      <c r="D14" s="39">
        <v>8.45611E9</v>
      </c>
      <c r="E14" s="47">
        <v>2.0</v>
      </c>
      <c r="F14" s="48">
        <v>1838.0</v>
      </c>
      <c r="G14" s="42">
        <f t="shared" si="1"/>
        <v>3676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45.75" customHeight="1">
      <c r="A15" s="45">
        <v>4.0</v>
      </c>
      <c r="B15" s="46" t="s">
        <v>25</v>
      </c>
      <c r="C15" s="38" t="s">
        <v>24</v>
      </c>
      <c r="D15" s="39">
        <v>8.45611E9</v>
      </c>
      <c r="E15" s="47">
        <v>2.0</v>
      </c>
      <c r="F15" s="41">
        <v>1539.0</v>
      </c>
      <c r="G15" s="42">
        <f t="shared" si="1"/>
        <v>3078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45.75" customHeight="1">
      <c r="A16" s="45">
        <v>5.0</v>
      </c>
      <c r="B16" s="46" t="s">
        <v>25</v>
      </c>
      <c r="C16" s="38" t="s">
        <v>24</v>
      </c>
      <c r="D16" s="39">
        <v>8.45611E9</v>
      </c>
      <c r="E16" s="44">
        <v>1.0</v>
      </c>
      <c r="F16" s="41">
        <v>1058.0</v>
      </c>
      <c r="G16" s="42">
        <f t="shared" si="1"/>
        <v>1058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45.75" customHeight="1">
      <c r="A17" s="36">
        <v>3.0</v>
      </c>
      <c r="B17" s="46" t="s">
        <v>25</v>
      </c>
      <c r="C17" s="38" t="s">
        <v>24</v>
      </c>
      <c r="D17" s="39">
        <v>8.45611E9</v>
      </c>
      <c r="E17" s="44">
        <v>1.0</v>
      </c>
      <c r="F17" s="41">
        <v>1197.0</v>
      </c>
      <c r="G17" s="42">
        <f t="shared" si="1"/>
        <v>1197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45.75" customHeight="1">
      <c r="A18" s="45">
        <v>9.0</v>
      </c>
      <c r="B18" s="46" t="s">
        <v>26</v>
      </c>
      <c r="C18" s="38" t="s">
        <v>24</v>
      </c>
      <c r="D18" s="39">
        <v>8.45611E9</v>
      </c>
      <c r="E18" s="44">
        <v>1.0</v>
      </c>
      <c r="F18" s="41">
        <v>1831.0</v>
      </c>
      <c r="G18" s="42">
        <f t="shared" si="1"/>
        <v>1831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45.75" customHeight="1">
      <c r="A19" s="45">
        <v>10.0</v>
      </c>
      <c r="B19" s="46" t="s">
        <v>27</v>
      </c>
      <c r="C19" s="38" t="s">
        <v>24</v>
      </c>
      <c r="D19" s="49">
        <v>8.45611E9</v>
      </c>
      <c r="E19" s="40">
        <v>1.0</v>
      </c>
      <c r="F19" s="41">
        <v>3905.0</v>
      </c>
      <c r="G19" s="42">
        <f t="shared" si="1"/>
        <v>3905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45.75" customHeight="1">
      <c r="A20" s="50">
        <v>11.0</v>
      </c>
      <c r="B20" s="51" t="s">
        <v>28</v>
      </c>
      <c r="C20" s="52" t="s">
        <v>29</v>
      </c>
      <c r="D20" s="53">
        <v>8.466967E9</v>
      </c>
      <c r="E20" s="54">
        <v>1.0</v>
      </c>
      <c r="F20" s="41">
        <v>146.0</v>
      </c>
      <c r="G20" s="42">
        <f t="shared" si="1"/>
        <v>146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45.75" customHeight="1">
      <c r="A21" s="50">
        <v>12.0</v>
      </c>
      <c r="B21" s="51" t="s">
        <v>28</v>
      </c>
      <c r="C21" s="52" t="s">
        <v>30</v>
      </c>
      <c r="D21" s="53">
        <v>8.466967E9</v>
      </c>
      <c r="E21" s="54">
        <v>1.0</v>
      </c>
      <c r="F21" s="41">
        <v>104.0</v>
      </c>
      <c r="G21" s="42">
        <f t="shared" si="1"/>
        <v>104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37.5" customHeight="1">
      <c r="A22" s="36"/>
      <c r="B22" s="12"/>
      <c r="C22" s="55" t="s">
        <v>31</v>
      </c>
      <c r="D22" s="56"/>
      <c r="E22" s="57">
        <f>SUM(E6:E21)</f>
        <v>12</v>
      </c>
      <c r="F22" s="58"/>
      <c r="G22" s="59">
        <f>SUM(G12:G21)</f>
        <v>16911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9.0" customHeight="1">
      <c r="A23" s="19" t="s">
        <v>32</v>
      </c>
      <c r="B23" s="11"/>
      <c r="C23" s="11"/>
      <c r="D23" s="11"/>
      <c r="E23" s="11"/>
      <c r="F23" s="11"/>
      <c r="G23" s="1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9.0" customHeight="1">
      <c r="A24" s="60" t="s">
        <v>33</v>
      </c>
      <c r="B24" s="7"/>
      <c r="C24" s="7"/>
      <c r="D24" s="7"/>
      <c r="E24" s="7"/>
      <c r="F24" s="7"/>
      <c r="G24" s="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5.25" customHeight="1">
      <c r="A25" s="19" t="s">
        <v>34</v>
      </c>
      <c r="B25" s="11"/>
      <c r="C25" s="11"/>
      <c r="D25" s="11"/>
      <c r="E25" s="11"/>
      <c r="F25" s="11"/>
      <c r="G25" s="1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52.5" customHeight="1">
      <c r="A26" s="61" t="s">
        <v>35</v>
      </c>
      <c r="B26" s="11"/>
      <c r="C26" s="62" t="s">
        <v>36</v>
      </c>
      <c r="D26" s="11"/>
      <c r="E26" s="11"/>
      <c r="F26" s="11"/>
      <c r="G26" s="6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61" t="s">
        <v>37</v>
      </c>
      <c r="B27" s="11"/>
      <c r="C27" s="62" t="s">
        <v>36</v>
      </c>
      <c r="D27" s="11"/>
      <c r="E27" s="11"/>
      <c r="F27" s="11"/>
      <c r="G27" s="6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4.5" customHeight="1">
      <c r="A28" s="64" t="s">
        <v>38</v>
      </c>
      <c r="B28" s="7"/>
      <c r="C28" s="7"/>
      <c r="D28" s="7"/>
      <c r="E28" s="7"/>
      <c r="F28" s="7"/>
      <c r="G28" s="6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5.25" customHeight="1">
      <c r="A29" s="66" t="s">
        <v>39</v>
      </c>
      <c r="G29" s="6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5.25" customHeight="1">
      <c r="A30" s="66" t="s">
        <v>40</v>
      </c>
      <c r="G30" s="6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5.25" customHeight="1">
      <c r="A31" s="66" t="s">
        <v>41</v>
      </c>
      <c r="G31" s="6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5.25" customHeight="1">
      <c r="A32" s="68" t="s">
        <v>42</v>
      </c>
      <c r="B32" s="4"/>
      <c r="C32" s="4"/>
      <c r="D32" s="4"/>
      <c r="E32" s="4"/>
      <c r="F32" s="4"/>
      <c r="G32" s="6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8.25" customHeight="1">
      <c r="A33" s="70"/>
      <c r="B33" s="71"/>
      <c r="C33" s="70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70"/>
      <c r="B34" s="71"/>
      <c r="C34" s="70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70"/>
      <c r="B35" s="71"/>
      <c r="C35" s="70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70"/>
      <c r="B36" s="71"/>
      <c r="C36" s="7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70"/>
      <c r="B37" s="71"/>
      <c r="C37" s="70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70"/>
      <c r="B38" s="71"/>
      <c r="C38" s="70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70"/>
      <c r="B39" s="71"/>
      <c r="C39" s="70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70"/>
      <c r="B40" s="71"/>
      <c r="C40" s="70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70"/>
      <c r="B41" s="71"/>
      <c r="C41" s="70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70"/>
      <c r="B42" s="71"/>
      <c r="C42" s="7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70"/>
      <c r="B43" s="71"/>
      <c r="C43" s="70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70"/>
      <c r="B44" s="71"/>
      <c r="C44" s="70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70"/>
      <c r="B45" s="71"/>
      <c r="C45" s="70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70"/>
      <c r="B46" s="71"/>
      <c r="C46" s="7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70"/>
      <c r="B47" s="71"/>
      <c r="C47" s="70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70"/>
      <c r="B48" s="71"/>
      <c r="C48" s="70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70"/>
      <c r="B49" s="71"/>
      <c r="C49" s="70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70"/>
      <c r="B50" s="71"/>
      <c r="C50" s="70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70"/>
      <c r="B51" s="71"/>
      <c r="C51" s="70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70"/>
      <c r="B52" s="71"/>
      <c r="C52" s="70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70"/>
      <c r="B53" s="71"/>
      <c r="C53" s="70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70"/>
      <c r="B54" s="71"/>
      <c r="C54" s="70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70"/>
      <c r="B55" s="71"/>
      <c r="C55" s="70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70"/>
      <c r="B56" s="71"/>
      <c r="C56" s="7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70"/>
      <c r="B57" s="71"/>
      <c r="C57" s="7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70"/>
      <c r="B58" s="71"/>
      <c r="C58" s="7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70"/>
      <c r="B59" s="71"/>
      <c r="C59" s="7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70"/>
      <c r="B60" s="71"/>
      <c r="C60" s="7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70"/>
      <c r="B61" s="71"/>
      <c r="C61" s="7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70"/>
      <c r="B62" s="71"/>
      <c r="C62" s="7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70"/>
      <c r="B63" s="71"/>
      <c r="C63" s="7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70"/>
      <c r="B64" s="71"/>
      <c r="C64" s="7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70"/>
      <c r="B65" s="71"/>
      <c r="C65" s="7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70"/>
      <c r="B66" s="71"/>
      <c r="C66" s="7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70"/>
      <c r="B67" s="71"/>
      <c r="C67" s="7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70"/>
      <c r="B68" s="71"/>
      <c r="C68" s="7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70"/>
      <c r="B69" s="71"/>
      <c r="C69" s="7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70"/>
      <c r="B70" s="71"/>
      <c r="C70" s="7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70"/>
      <c r="B71" s="71"/>
      <c r="C71" s="7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70"/>
      <c r="B72" s="71"/>
      <c r="C72" s="7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70"/>
      <c r="B73" s="71"/>
      <c r="C73" s="7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70"/>
      <c r="B74" s="71"/>
      <c r="C74" s="7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70"/>
      <c r="B75" s="71"/>
      <c r="C75" s="7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70"/>
      <c r="B76" s="71"/>
      <c r="C76" s="7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70"/>
      <c r="B77" s="71"/>
      <c r="C77" s="7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70"/>
      <c r="B78" s="71"/>
      <c r="C78" s="7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70"/>
      <c r="B79" s="71"/>
      <c r="C79" s="7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70"/>
      <c r="B80" s="71"/>
      <c r="C80" s="7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70"/>
      <c r="B81" s="71"/>
      <c r="C81" s="7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70"/>
      <c r="B82" s="71"/>
      <c r="C82" s="7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70"/>
      <c r="B83" s="71"/>
      <c r="C83" s="7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70"/>
      <c r="B84" s="71"/>
      <c r="C84" s="7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70"/>
      <c r="B85" s="71"/>
      <c r="C85" s="7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70"/>
      <c r="B86" s="71"/>
      <c r="C86" s="7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70"/>
      <c r="B87" s="71"/>
      <c r="C87" s="7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70"/>
      <c r="B88" s="71"/>
      <c r="C88" s="7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70"/>
      <c r="B89" s="71"/>
      <c r="C89" s="7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70"/>
      <c r="B90" s="71"/>
      <c r="C90" s="7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70"/>
      <c r="B91" s="71"/>
      <c r="C91" s="7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70"/>
      <c r="B92" s="71"/>
      <c r="C92" s="7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70"/>
      <c r="B93" s="71"/>
      <c r="C93" s="7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70"/>
      <c r="B94" s="71"/>
      <c r="C94" s="7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70"/>
      <c r="B95" s="71"/>
      <c r="C95" s="7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70"/>
      <c r="B96" s="71"/>
      <c r="C96" s="7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70"/>
      <c r="B97" s="71"/>
      <c r="C97" s="7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70"/>
      <c r="B98" s="71"/>
      <c r="C98" s="7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70"/>
      <c r="B99" s="71"/>
      <c r="C99" s="7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70"/>
      <c r="B100" s="71"/>
      <c r="C100" s="7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70"/>
      <c r="B101" s="71"/>
      <c r="C101" s="7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70"/>
      <c r="B102" s="71"/>
      <c r="C102" s="7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70"/>
      <c r="B103" s="71"/>
      <c r="C103" s="7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70"/>
      <c r="B104" s="71"/>
      <c r="C104" s="7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70"/>
      <c r="B105" s="71"/>
      <c r="C105" s="7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70"/>
      <c r="B106" s="71"/>
      <c r="C106" s="7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70"/>
      <c r="B107" s="71"/>
      <c r="C107" s="7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70"/>
      <c r="B108" s="71"/>
      <c r="C108" s="7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70"/>
      <c r="B109" s="71"/>
      <c r="C109" s="7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70"/>
      <c r="B110" s="71"/>
      <c r="C110" s="7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70"/>
      <c r="B111" s="71"/>
      <c r="C111" s="7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70"/>
      <c r="B112" s="71"/>
      <c r="C112" s="7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70"/>
      <c r="B113" s="71"/>
      <c r="C113" s="7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70"/>
      <c r="B114" s="71"/>
      <c r="C114" s="7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70"/>
      <c r="B115" s="71"/>
      <c r="C115" s="7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70"/>
      <c r="B116" s="71"/>
      <c r="C116" s="7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70"/>
      <c r="B117" s="71"/>
      <c r="C117" s="7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70"/>
      <c r="B118" s="71"/>
      <c r="C118" s="7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70"/>
      <c r="B119" s="71"/>
      <c r="C119" s="7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70"/>
      <c r="B120" s="71"/>
      <c r="C120" s="70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70"/>
      <c r="B121" s="71"/>
      <c r="C121" s="7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70"/>
      <c r="B122" s="71"/>
      <c r="C122" s="7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70"/>
      <c r="B123" s="71"/>
      <c r="C123" s="7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70"/>
      <c r="B124" s="71"/>
      <c r="C124" s="7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70"/>
      <c r="B125" s="71"/>
      <c r="C125" s="7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70"/>
      <c r="B126" s="71"/>
      <c r="C126" s="7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70"/>
      <c r="B127" s="71"/>
      <c r="C127" s="7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70"/>
      <c r="B128" s="71"/>
      <c r="C128" s="7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70"/>
      <c r="B129" s="71"/>
      <c r="C129" s="7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70"/>
      <c r="B130" s="71"/>
      <c r="C130" s="7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70"/>
      <c r="B131" s="71"/>
      <c r="C131" s="7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70"/>
      <c r="B132" s="71"/>
      <c r="C132" s="7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70"/>
      <c r="B133" s="71"/>
      <c r="C133" s="7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70"/>
      <c r="B134" s="71"/>
      <c r="C134" s="7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70"/>
      <c r="B135" s="71"/>
      <c r="C135" s="7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70"/>
      <c r="B136" s="71"/>
      <c r="C136" s="7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70"/>
      <c r="B137" s="71"/>
      <c r="C137" s="7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70"/>
      <c r="B138" s="71"/>
      <c r="C138" s="7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70"/>
      <c r="B139" s="71"/>
      <c r="C139" s="7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70"/>
      <c r="B140" s="71"/>
      <c r="C140" s="7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70"/>
      <c r="B141" s="71"/>
      <c r="C141" s="7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70"/>
      <c r="B142" s="71"/>
      <c r="C142" s="7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70"/>
      <c r="B143" s="71"/>
      <c r="C143" s="7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70"/>
      <c r="B144" s="71"/>
      <c r="C144" s="7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70"/>
      <c r="B145" s="71"/>
      <c r="C145" s="7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70"/>
      <c r="B146" s="71"/>
      <c r="C146" s="7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70"/>
      <c r="B147" s="71"/>
      <c r="C147" s="7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70"/>
      <c r="B148" s="71"/>
      <c r="C148" s="7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70"/>
      <c r="B149" s="71"/>
      <c r="C149" s="7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70"/>
      <c r="B150" s="71"/>
      <c r="C150" s="7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70"/>
      <c r="B151" s="71"/>
      <c r="C151" s="7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70"/>
      <c r="B152" s="71"/>
      <c r="C152" s="7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70"/>
      <c r="B153" s="71"/>
      <c r="C153" s="7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70"/>
      <c r="B154" s="71"/>
      <c r="C154" s="7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70"/>
      <c r="B155" s="71"/>
      <c r="C155" s="7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70"/>
      <c r="B156" s="71"/>
      <c r="C156" s="7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70"/>
      <c r="B157" s="71"/>
      <c r="C157" s="7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70"/>
      <c r="B158" s="71"/>
      <c r="C158" s="7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70"/>
      <c r="B159" s="71"/>
      <c r="C159" s="7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70"/>
      <c r="B160" s="71"/>
      <c r="C160" s="7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70"/>
      <c r="B161" s="71"/>
      <c r="C161" s="7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70"/>
      <c r="B162" s="71"/>
      <c r="C162" s="7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70"/>
      <c r="B163" s="71"/>
      <c r="C163" s="7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70"/>
      <c r="B164" s="71"/>
      <c r="C164" s="7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70"/>
      <c r="B165" s="71"/>
      <c r="C165" s="7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70"/>
      <c r="B166" s="71"/>
      <c r="C166" s="7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70"/>
      <c r="B167" s="71"/>
      <c r="C167" s="7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70"/>
      <c r="B168" s="71"/>
      <c r="C168" s="7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70"/>
      <c r="B169" s="71"/>
      <c r="C169" s="7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70"/>
      <c r="B170" s="71"/>
      <c r="C170" s="70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70"/>
      <c r="B171" s="71"/>
      <c r="C171" s="70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70"/>
      <c r="B172" s="71"/>
      <c r="C172" s="70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70"/>
      <c r="B173" s="71"/>
      <c r="C173" s="70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70"/>
      <c r="B174" s="71"/>
      <c r="C174" s="70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70"/>
      <c r="B175" s="71"/>
      <c r="C175" s="70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70"/>
      <c r="B176" s="71"/>
      <c r="C176" s="7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70"/>
      <c r="B177" s="71"/>
      <c r="C177" s="7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70"/>
      <c r="B178" s="71"/>
      <c r="C178" s="7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70"/>
      <c r="B179" s="71"/>
      <c r="C179" s="7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70"/>
      <c r="B180" s="71"/>
      <c r="C180" s="70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70"/>
      <c r="B181" s="71"/>
      <c r="C181" s="7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70"/>
      <c r="B182" s="71"/>
      <c r="C182" s="70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70"/>
      <c r="B183" s="71"/>
      <c r="C183" s="7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70"/>
      <c r="B184" s="71"/>
      <c r="C184" s="7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70"/>
      <c r="B185" s="71"/>
      <c r="C185" s="7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70"/>
      <c r="B186" s="71"/>
      <c r="C186" s="7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70"/>
      <c r="B187" s="71"/>
      <c r="C187" s="7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70"/>
      <c r="B188" s="71"/>
      <c r="C188" s="7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70"/>
      <c r="B189" s="71"/>
      <c r="C189" s="7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70"/>
      <c r="B190" s="71"/>
      <c r="C190" s="7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70"/>
      <c r="B191" s="71"/>
      <c r="C191" s="7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70"/>
      <c r="B192" s="71"/>
      <c r="C192" s="7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70"/>
      <c r="B193" s="71"/>
      <c r="C193" s="7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70"/>
      <c r="B194" s="71"/>
      <c r="C194" s="7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70"/>
      <c r="B195" s="71"/>
      <c r="C195" s="7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70"/>
      <c r="B196" s="71"/>
      <c r="C196" s="7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70"/>
      <c r="B197" s="71"/>
      <c r="C197" s="7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70"/>
      <c r="B198" s="71"/>
      <c r="C198" s="7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70"/>
      <c r="B199" s="71"/>
      <c r="C199" s="7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70"/>
      <c r="B200" s="71"/>
      <c r="C200" s="7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70"/>
      <c r="B201" s="71"/>
      <c r="C201" s="7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70"/>
      <c r="B202" s="71"/>
      <c r="C202" s="7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70"/>
      <c r="B203" s="71"/>
      <c r="C203" s="7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70"/>
      <c r="B204" s="71"/>
      <c r="C204" s="7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70"/>
      <c r="B205" s="71"/>
      <c r="C205" s="7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70"/>
      <c r="B206" s="71"/>
      <c r="C206" s="7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70"/>
      <c r="B207" s="71"/>
      <c r="C207" s="7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70"/>
      <c r="B208" s="71"/>
      <c r="C208" s="7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70"/>
      <c r="B209" s="71"/>
      <c r="C209" s="7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70"/>
      <c r="B210" s="71"/>
      <c r="C210" s="7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70"/>
      <c r="B211" s="71"/>
      <c r="C211" s="7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70"/>
      <c r="B212" s="71"/>
      <c r="C212" s="7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70"/>
      <c r="B213" s="71"/>
      <c r="C213" s="7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70"/>
      <c r="B214" s="71"/>
      <c r="C214" s="7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70"/>
      <c r="B215" s="71"/>
      <c r="C215" s="7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70"/>
      <c r="B216" s="71"/>
      <c r="C216" s="7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70"/>
      <c r="B217" s="71"/>
      <c r="C217" s="7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70"/>
      <c r="B218" s="71"/>
      <c r="C218" s="7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70"/>
      <c r="B219" s="71"/>
      <c r="C219" s="7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70"/>
      <c r="B220" s="71"/>
      <c r="C220" s="7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70"/>
      <c r="B221" s="71"/>
      <c r="C221" s="7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70"/>
      <c r="B222" s="71"/>
      <c r="C222" s="7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70"/>
      <c r="B223" s="71"/>
      <c r="C223" s="7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70"/>
      <c r="B224" s="71"/>
      <c r="C224" s="7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70"/>
      <c r="B225" s="71"/>
      <c r="C225" s="7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70"/>
      <c r="B226" s="71"/>
      <c r="C226" s="7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70"/>
      <c r="B227" s="71"/>
      <c r="C227" s="7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70"/>
      <c r="B228" s="71"/>
      <c r="C228" s="7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70"/>
      <c r="B229" s="71"/>
      <c r="C229" s="7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70"/>
      <c r="B230" s="71"/>
      <c r="C230" s="7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70"/>
      <c r="B231" s="71"/>
      <c r="C231" s="7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70"/>
      <c r="B232" s="71"/>
      <c r="C232" s="7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70"/>
      <c r="B233" s="71"/>
      <c r="C233" s="7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70"/>
      <c r="B234" s="71"/>
      <c r="C234" s="7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70"/>
      <c r="B235" s="71"/>
      <c r="C235" s="7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70"/>
      <c r="B236" s="71"/>
      <c r="C236" s="7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70"/>
      <c r="B237" s="71"/>
      <c r="C237" s="7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70"/>
      <c r="B238" s="71"/>
      <c r="C238" s="7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70"/>
      <c r="B239" s="71"/>
      <c r="C239" s="7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70"/>
      <c r="B240" s="71"/>
      <c r="C240" s="7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70"/>
      <c r="B241" s="71"/>
      <c r="C241" s="7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70"/>
      <c r="B242" s="71"/>
      <c r="C242" s="7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70"/>
      <c r="B243" s="71"/>
      <c r="C243" s="7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70"/>
      <c r="B244" s="71"/>
      <c r="C244" s="7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70"/>
      <c r="B245" s="71"/>
      <c r="C245" s="7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70"/>
      <c r="B246" s="71"/>
      <c r="C246" s="7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70"/>
      <c r="B247" s="71"/>
      <c r="C247" s="7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70"/>
      <c r="B248" s="71"/>
      <c r="C248" s="7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70"/>
      <c r="B249" s="71"/>
      <c r="C249" s="7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70"/>
      <c r="B250" s="71"/>
      <c r="C250" s="7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70"/>
      <c r="B251" s="71"/>
      <c r="C251" s="7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70"/>
      <c r="B252" s="71"/>
      <c r="C252" s="7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70"/>
      <c r="B253" s="71"/>
      <c r="C253" s="7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70"/>
      <c r="B254" s="71"/>
      <c r="C254" s="7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70"/>
      <c r="B255" s="71"/>
      <c r="C255" s="7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70"/>
      <c r="B256" s="71"/>
      <c r="C256" s="7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70"/>
      <c r="B257" s="71"/>
      <c r="C257" s="7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70"/>
      <c r="B258" s="71"/>
      <c r="C258" s="7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70"/>
      <c r="B259" s="71"/>
      <c r="C259" s="7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70"/>
      <c r="B260" s="71"/>
      <c r="C260" s="7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70"/>
      <c r="B261" s="71"/>
      <c r="C261" s="7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70"/>
      <c r="B262" s="71"/>
      <c r="C262" s="7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70"/>
      <c r="B263" s="71"/>
      <c r="C263" s="7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70"/>
      <c r="B264" s="71"/>
      <c r="C264" s="7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70"/>
      <c r="B265" s="71"/>
      <c r="C265" s="7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70"/>
      <c r="B266" s="71"/>
      <c r="C266" s="7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70"/>
      <c r="B267" s="71"/>
      <c r="C267" s="7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70"/>
      <c r="B268" s="71"/>
      <c r="C268" s="7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70"/>
      <c r="B269" s="71"/>
      <c r="C269" s="7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70"/>
      <c r="B270" s="71"/>
      <c r="C270" s="7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70"/>
      <c r="B271" s="71"/>
      <c r="C271" s="7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70"/>
      <c r="B272" s="71"/>
      <c r="C272" s="7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70"/>
      <c r="B273" s="71"/>
      <c r="C273" s="7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70"/>
      <c r="B274" s="71"/>
      <c r="C274" s="7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70"/>
      <c r="B275" s="71"/>
      <c r="C275" s="7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70"/>
      <c r="B276" s="71"/>
      <c r="C276" s="7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70"/>
      <c r="B277" s="71"/>
      <c r="C277" s="7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70"/>
      <c r="B278" s="71"/>
      <c r="C278" s="7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70"/>
      <c r="B279" s="71"/>
      <c r="C279" s="7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70"/>
      <c r="B280" s="71"/>
      <c r="C280" s="7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70"/>
      <c r="B281" s="71"/>
      <c r="C281" s="7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70"/>
      <c r="B282" s="71"/>
      <c r="C282" s="7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70"/>
      <c r="B283" s="71"/>
      <c r="C283" s="7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70"/>
      <c r="B284" s="71"/>
      <c r="C284" s="7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70"/>
      <c r="B285" s="71"/>
      <c r="C285" s="7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70"/>
      <c r="B286" s="71"/>
      <c r="C286" s="7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70"/>
      <c r="B287" s="71"/>
      <c r="C287" s="7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70"/>
      <c r="B288" s="71"/>
      <c r="C288" s="7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70"/>
      <c r="B289" s="71"/>
      <c r="C289" s="7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70"/>
      <c r="B290" s="71"/>
      <c r="C290" s="7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70"/>
      <c r="B291" s="71"/>
      <c r="C291" s="7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70"/>
      <c r="B292" s="71"/>
      <c r="C292" s="7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70"/>
      <c r="B293" s="71"/>
      <c r="C293" s="7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70"/>
      <c r="B294" s="71"/>
      <c r="C294" s="7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70"/>
      <c r="B295" s="71"/>
      <c r="C295" s="7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70"/>
      <c r="B296" s="71"/>
      <c r="C296" s="7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70"/>
      <c r="B297" s="71"/>
      <c r="C297" s="7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70"/>
      <c r="B298" s="71"/>
      <c r="C298" s="7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70"/>
      <c r="B299" s="71"/>
      <c r="C299" s="7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70"/>
      <c r="B300" s="71"/>
      <c r="C300" s="7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70"/>
      <c r="B301" s="71"/>
      <c r="C301" s="7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70"/>
      <c r="B302" s="71"/>
      <c r="C302" s="7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70"/>
      <c r="B303" s="71"/>
      <c r="C303" s="7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70"/>
      <c r="B304" s="71"/>
      <c r="C304" s="7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70"/>
      <c r="B305" s="71"/>
      <c r="C305" s="7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70"/>
      <c r="B306" s="71"/>
      <c r="C306" s="7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70"/>
      <c r="B307" s="71"/>
      <c r="C307" s="7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70"/>
      <c r="B308" s="71"/>
      <c r="C308" s="7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70"/>
      <c r="B309" s="71"/>
      <c r="C309" s="7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70"/>
      <c r="B310" s="71"/>
      <c r="C310" s="7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70"/>
      <c r="B311" s="71"/>
      <c r="C311" s="7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70"/>
      <c r="B312" s="71"/>
      <c r="C312" s="7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70"/>
      <c r="B313" s="71"/>
      <c r="C313" s="7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70"/>
      <c r="B314" s="71"/>
      <c r="C314" s="7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70"/>
      <c r="B315" s="71"/>
      <c r="C315" s="7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70"/>
      <c r="B316" s="71"/>
      <c r="C316" s="7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70"/>
      <c r="B317" s="71"/>
      <c r="C317" s="7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70"/>
      <c r="B318" s="71"/>
      <c r="C318" s="7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70"/>
      <c r="B319" s="71"/>
      <c r="C319" s="7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70"/>
      <c r="B320" s="71"/>
      <c r="C320" s="7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70"/>
      <c r="B321" s="71"/>
      <c r="C321" s="7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70"/>
      <c r="B322" s="71"/>
      <c r="C322" s="7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70"/>
      <c r="B323" s="71"/>
      <c r="C323" s="7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70"/>
      <c r="B324" s="71"/>
      <c r="C324" s="7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70"/>
      <c r="B325" s="71"/>
      <c r="C325" s="7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70"/>
      <c r="B326" s="71"/>
      <c r="C326" s="7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70"/>
      <c r="B327" s="71"/>
      <c r="C327" s="7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70"/>
      <c r="B328" s="71"/>
      <c r="C328" s="7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70"/>
      <c r="B329" s="71"/>
      <c r="C329" s="7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70"/>
      <c r="B330" s="71"/>
      <c r="C330" s="7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70"/>
      <c r="B331" s="71"/>
      <c r="C331" s="7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70"/>
      <c r="B332" s="71"/>
      <c r="C332" s="7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70"/>
      <c r="B333" s="71"/>
      <c r="C333" s="7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70"/>
      <c r="B334" s="71"/>
      <c r="C334" s="7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70"/>
      <c r="B335" s="71"/>
      <c r="C335" s="7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70"/>
      <c r="B336" s="71"/>
      <c r="C336" s="7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70"/>
      <c r="B337" s="71"/>
      <c r="C337" s="7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70"/>
      <c r="B338" s="71"/>
      <c r="C338" s="7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70"/>
      <c r="B339" s="71"/>
      <c r="C339" s="7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70"/>
      <c r="B340" s="71"/>
      <c r="C340" s="7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70"/>
      <c r="B341" s="71"/>
      <c r="C341" s="7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70"/>
      <c r="B342" s="71"/>
      <c r="C342" s="7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70"/>
      <c r="B343" s="71"/>
      <c r="C343" s="7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70"/>
      <c r="B344" s="71"/>
      <c r="C344" s="7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70"/>
      <c r="B345" s="71"/>
      <c r="C345" s="7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70"/>
      <c r="B346" s="71"/>
      <c r="C346" s="7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70"/>
      <c r="B347" s="71"/>
      <c r="C347" s="7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70"/>
      <c r="B348" s="71"/>
      <c r="C348" s="7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70"/>
      <c r="B349" s="71"/>
      <c r="C349" s="7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70"/>
      <c r="B350" s="71"/>
      <c r="C350" s="7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70"/>
      <c r="B351" s="71"/>
      <c r="C351" s="7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70"/>
      <c r="B352" s="71"/>
      <c r="C352" s="7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70"/>
      <c r="B353" s="71"/>
      <c r="C353" s="7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70"/>
      <c r="B354" s="71"/>
      <c r="C354" s="7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70"/>
      <c r="B355" s="71"/>
      <c r="C355" s="7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70"/>
      <c r="B356" s="71"/>
      <c r="C356" s="7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70"/>
      <c r="B357" s="71"/>
      <c r="C357" s="7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70"/>
      <c r="B358" s="71"/>
      <c r="C358" s="7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70"/>
      <c r="B359" s="71"/>
      <c r="C359" s="7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70"/>
      <c r="B360" s="71"/>
      <c r="C360" s="7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70"/>
      <c r="B361" s="71"/>
      <c r="C361" s="7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70"/>
      <c r="B362" s="71"/>
      <c r="C362" s="7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70"/>
      <c r="B363" s="71"/>
      <c r="C363" s="7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70"/>
      <c r="B364" s="71"/>
      <c r="C364" s="7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70"/>
      <c r="B365" s="71"/>
      <c r="C365" s="7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70"/>
      <c r="B366" s="71"/>
      <c r="C366" s="7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70"/>
      <c r="B367" s="71"/>
      <c r="C367" s="7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70"/>
      <c r="B368" s="71"/>
      <c r="C368" s="7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70"/>
      <c r="B369" s="71"/>
      <c r="C369" s="7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70"/>
      <c r="B370" s="71"/>
      <c r="C370" s="7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70"/>
      <c r="B371" s="71"/>
      <c r="C371" s="7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70"/>
      <c r="B372" s="71"/>
      <c r="C372" s="7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70"/>
      <c r="B373" s="71"/>
      <c r="C373" s="7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70"/>
      <c r="B374" s="71"/>
      <c r="C374" s="7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70"/>
      <c r="B375" s="71"/>
      <c r="C375" s="7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70"/>
      <c r="B376" s="71"/>
      <c r="C376" s="7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70"/>
      <c r="B377" s="71"/>
      <c r="C377" s="7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70"/>
      <c r="B378" s="71"/>
      <c r="C378" s="7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70"/>
      <c r="B379" s="71"/>
      <c r="C379" s="7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70"/>
      <c r="B380" s="71"/>
      <c r="C380" s="7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70"/>
      <c r="B381" s="71"/>
      <c r="C381" s="7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70"/>
      <c r="B382" s="71"/>
      <c r="C382" s="7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70"/>
      <c r="B383" s="71"/>
      <c r="C383" s="7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70"/>
      <c r="B384" s="71"/>
      <c r="C384" s="7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70"/>
      <c r="B385" s="71"/>
      <c r="C385" s="7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70"/>
      <c r="B386" s="71"/>
      <c r="C386" s="7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70"/>
      <c r="B387" s="71"/>
      <c r="C387" s="7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70"/>
      <c r="B388" s="71"/>
      <c r="C388" s="7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70"/>
      <c r="B389" s="71"/>
      <c r="C389" s="7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70"/>
      <c r="B390" s="71"/>
      <c r="C390" s="70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70"/>
      <c r="B391" s="71"/>
      <c r="C391" s="70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70"/>
      <c r="B392" s="71"/>
      <c r="C392" s="70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70"/>
      <c r="B393" s="71"/>
      <c r="C393" s="70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70"/>
      <c r="B394" s="71"/>
      <c r="C394" s="70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70"/>
      <c r="B395" s="71"/>
      <c r="C395" s="70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70"/>
      <c r="B396" s="71"/>
      <c r="C396" s="7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70"/>
      <c r="B397" s="71"/>
      <c r="C397" s="7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70"/>
      <c r="B398" s="71"/>
      <c r="C398" s="7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70"/>
      <c r="B399" s="71"/>
      <c r="C399" s="7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70"/>
      <c r="B400" s="71"/>
      <c r="C400" s="70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70"/>
      <c r="B401" s="71"/>
      <c r="C401" s="70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70"/>
      <c r="B402" s="71"/>
      <c r="C402" s="70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70"/>
      <c r="B403" s="71"/>
      <c r="C403" s="70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70"/>
      <c r="B404" s="71"/>
      <c r="C404" s="70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70"/>
      <c r="B405" s="71"/>
      <c r="C405" s="70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70"/>
      <c r="B406" s="71"/>
      <c r="C406" s="7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70"/>
      <c r="B407" s="71"/>
      <c r="C407" s="7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70"/>
      <c r="B408" s="71"/>
      <c r="C408" s="7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70"/>
      <c r="B409" s="71"/>
      <c r="C409" s="7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70"/>
      <c r="B410" s="71"/>
      <c r="C410" s="70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70"/>
      <c r="B411" s="71"/>
      <c r="C411" s="70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70"/>
      <c r="B412" s="71"/>
      <c r="C412" s="70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70"/>
      <c r="B413" s="71"/>
      <c r="C413" s="70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70"/>
      <c r="B414" s="71"/>
      <c r="C414" s="70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70"/>
      <c r="B415" s="71"/>
      <c r="C415" s="70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70"/>
      <c r="B416" s="71"/>
      <c r="C416" s="7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70"/>
      <c r="B417" s="71"/>
      <c r="C417" s="7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70"/>
      <c r="B418" s="71"/>
      <c r="C418" s="7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70"/>
      <c r="B419" s="71"/>
      <c r="C419" s="7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70"/>
      <c r="B420" s="71"/>
      <c r="C420" s="70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70"/>
      <c r="B421" s="71"/>
      <c r="C421" s="70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70"/>
      <c r="B422" s="71"/>
      <c r="C422" s="70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70"/>
      <c r="B423" s="71"/>
      <c r="C423" s="70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70"/>
      <c r="B424" s="71"/>
      <c r="C424" s="70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70"/>
      <c r="B425" s="71"/>
      <c r="C425" s="70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70"/>
      <c r="B426" s="71"/>
      <c r="C426" s="7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70"/>
      <c r="B427" s="71"/>
      <c r="C427" s="7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70"/>
      <c r="B428" s="71"/>
      <c r="C428" s="7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70"/>
      <c r="B429" s="71"/>
      <c r="C429" s="7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70"/>
      <c r="B430" s="71"/>
      <c r="C430" s="70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70"/>
      <c r="B431" s="71"/>
      <c r="C431" s="70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70"/>
      <c r="B432" s="71"/>
      <c r="C432" s="70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70"/>
      <c r="B433" s="71"/>
      <c r="C433" s="70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70"/>
      <c r="B434" s="71"/>
      <c r="C434" s="70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70"/>
      <c r="B435" s="71"/>
      <c r="C435" s="70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70"/>
      <c r="B436" s="71"/>
      <c r="C436" s="7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70"/>
      <c r="B437" s="71"/>
      <c r="C437" s="7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70"/>
      <c r="B438" s="71"/>
      <c r="C438" s="7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70"/>
      <c r="B439" s="71"/>
      <c r="C439" s="7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70"/>
      <c r="B440" s="71"/>
      <c r="C440" s="70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70"/>
      <c r="B441" s="71"/>
      <c r="C441" s="70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70"/>
      <c r="B442" s="71"/>
      <c r="C442" s="70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70"/>
      <c r="B443" s="71"/>
      <c r="C443" s="70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70"/>
      <c r="B444" s="71"/>
      <c r="C444" s="70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70"/>
      <c r="B445" s="71"/>
      <c r="C445" s="70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70"/>
      <c r="B446" s="71"/>
      <c r="C446" s="7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70"/>
      <c r="B447" s="71"/>
      <c r="C447" s="7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70"/>
      <c r="B448" s="71"/>
      <c r="C448" s="7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70"/>
      <c r="B449" s="71"/>
      <c r="C449" s="7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70"/>
      <c r="B450" s="71"/>
      <c r="C450" s="70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70"/>
      <c r="B451" s="71"/>
      <c r="C451" s="70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70"/>
      <c r="B452" s="71"/>
      <c r="C452" s="70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70"/>
      <c r="B453" s="71"/>
      <c r="C453" s="70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70"/>
      <c r="B454" s="71"/>
      <c r="C454" s="70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70"/>
      <c r="B455" s="71"/>
      <c r="C455" s="70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70"/>
      <c r="B456" s="71"/>
      <c r="C456" s="7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70"/>
      <c r="B457" s="71"/>
      <c r="C457" s="7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70"/>
      <c r="B458" s="71"/>
      <c r="C458" s="7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70"/>
      <c r="B459" s="71"/>
      <c r="C459" s="7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70"/>
      <c r="B460" s="71"/>
      <c r="C460" s="70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70"/>
      <c r="B461" s="71"/>
      <c r="C461" s="70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70"/>
      <c r="B462" s="71"/>
      <c r="C462" s="70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70"/>
      <c r="B463" s="71"/>
      <c r="C463" s="70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70"/>
      <c r="B464" s="71"/>
      <c r="C464" s="70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70"/>
      <c r="B465" s="71"/>
      <c r="C465" s="70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70"/>
      <c r="B466" s="71"/>
      <c r="C466" s="7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70"/>
      <c r="B467" s="71"/>
      <c r="C467" s="7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70"/>
      <c r="B468" s="71"/>
      <c r="C468" s="70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70"/>
      <c r="B469" s="71"/>
      <c r="C469" s="70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70"/>
      <c r="B470" s="71"/>
      <c r="C470" s="70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70"/>
      <c r="B471" s="71"/>
      <c r="C471" s="70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70"/>
      <c r="B472" s="71"/>
      <c r="C472" s="70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70"/>
      <c r="B473" s="71"/>
      <c r="C473" s="70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70"/>
      <c r="B474" s="71"/>
      <c r="C474" s="70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70"/>
      <c r="B475" s="71"/>
      <c r="C475" s="70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70"/>
      <c r="B476" s="71"/>
      <c r="C476" s="7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70"/>
      <c r="B477" s="71"/>
      <c r="C477" s="7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70"/>
      <c r="B478" s="71"/>
      <c r="C478" s="70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70"/>
      <c r="B479" s="71"/>
      <c r="C479" s="70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70"/>
      <c r="B480" s="71"/>
      <c r="C480" s="70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70"/>
      <c r="B481" s="71"/>
      <c r="C481" s="70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70"/>
      <c r="B482" s="71"/>
      <c r="C482" s="70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70"/>
      <c r="B483" s="71"/>
      <c r="C483" s="70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70"/>
      <c r="B484" s="71"/>
      <c r="C484" s="70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70"/>
      <c r="B485" s="71"/>
      <c r="C485" s="70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70"/>
      <c r="B486" s="71"/>
      <c r="C486" s="7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70"/>
      <c r="B487" s="71"/>
      <c r="C487" s="7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70"/>
      <c r="B488" s="71"/>
      <c r="C488" s="70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70"/>
      <c r="B489" s="71"/>
      <c r="C489" s="70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70"/>
      <c r="B490" s="71"/>
      <c r="C490" s="70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70"/>
      <c r="B491" s="71"/>
      <c r="C491" s="70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70"/>
      <c r="B492" s="71"/>
      <c r="C492" s="70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70"/>
      <c r="B493" s="71"/>
      <c r="C493" s="70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70"/>
      <c r="B494" s="71"/>
      <c r="C494" s="70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70"/>
      <c r="B495" s="71"/>
      <c r="C495" s="70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70"/>
      <c r="B496" s="71"/>
      <c r="C496" s="7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70"/>
      <c r="B497" s="71"/>
      <c r="C497" s="7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70"/>
      <c r="B498" s="71"/>
      <c r="C498" s="70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70"/>
      <c r="B499" s="71"/>
      <c r="C499" s="70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70"/>
      <c r="B500" s="71"/>
      <c r="C500" s="70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70"/>
      <c r="B501" s="71"/>
      <c r="C501" s="70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70"/>
      <c r="B502" s="71"/>
      <c r="C502" s="70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70"/>
      <c r="B503" s="71"/>
      <c r="C503" s="70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70"/>
      <c r="B504" s="71"/>
      <c r="C504" s="70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70"/>
      <c r="B505" s="71"/>
      <c r="C505" s="70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70"/>
      <c r="B506" s="71"/>
      <c r="C506" s="7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70"/>
      <c r="B507" s="71"/>
      <c r="C507" s="7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70"/>
      <c r="B508" s="71"/>
      <c r="C508" s="70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70"/>
      <c r="B509" s="71"/>
      <c r="C509" s="70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70"/>
      <c r="B510" s="71"/>
      <c r="C510" s="70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70"/>
      <c r="B511" s="71"/>
      <c r="C511" s="70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70"/>
      <c r="B512" s="71"/>
      <c r="C512" s="70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70"/>
      <c r="B513" s="71"/>
      <c r="C513" s="70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70"/>
      <c r="B514" s="71"/>
      <c r="C514" s="70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70"/>
      <c r="B515" s="71"/>
      <c r="C515" s="70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70"/>
      <c r="B516" s="71"/>
      <c r="C516" s="7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70"/>
      <c r="B517" s="71"/>
      <c r="C517" s="7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70"/>
      <c r="B518" s="71"/>
      <c r="C518" s="70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70"/>
      <c r="B519" s="71"/>
      <c r="C519" s="70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70"/>
      <c r="B520" s="71"/>
      <c r="C520" s="70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70"/>
      <c r="B521" s="71"/>
      <c r="C521" s="70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70"/>
      <c r="B522" s="71"/>
      <c r="C522" s="70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70"/>
      <c r="B523" s="71"/>
      <c r="C523" s="70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70"/>
      <c r="B524" s="71"/>
      <c r="C524" s="70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70"/>
      <c r="B525" s="71"/>
      <c r="C525" s="70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70"/>
      <c r="B526" s="71"/>
      <c r="C526" s="70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70"/>
      <c r="B527" s="71"/>
      <c r="C527" s="70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70"/>
      <c r="B528" s="71"/>
      <c r="C528" s="70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70"/>
      <c r="B529" s="71"/>
      <c r="C529" s="70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70"/>
      <c r="B530" s="71"/>
      <c r="C530" s="70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70"/>
      <c r="B531" s="71"/>
      <c r="C531" s="70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70"/>
      <c r="B532" s="71"/>
      <c r="C532" s="70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70"/>
      <c r="B533" s="71"/>
      <c r="C533" s="70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70"/>
      <c r="B534" s="71"/>
      <c r="C534" s="70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70"/>
      <c r="B535" s="71"/>
      <c r="C535" s="70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70"/>
      <c r="B536" s="71"/>
      <c r="C536" s="70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70"/>
      <c r="B537" s="71"/>
      <c r="C537" s="70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70"/>
      <c r="B538" s="71"/>
      <c r="C538" s="70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70"/>
      <c r="B539" s="71"/>
      <c r="C539" s="70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70"/>
      <c r="B540" s="71"/>
      <c r="C540" s="70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70"/>
      <c r="B541" s="71"/>
      <c r="C541" s="70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70"/>
      <c r="B542" s="71"/>
      <c r="C542" s="70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70"/>
      <c r="B543" s="71"/>
      <c r="C543" s="70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70"/>
      <c r="B544" s="71"/>
      <c r="C544" s="70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70"/>
      <c r="B545" s="71"/>
      <c r="C545" s="70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70"/>
      <c r="B546" s="71"/>
      <c r="C546" s="70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70"/>
      <c r="B547" s="71"/>
      <c r="C547" s="70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70"/>
      <c r="B548" s="71"/>
      <c r="C548" s="70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70"/>
      <c r="B549" s="71"/>
      <c r="C549" s="70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70"/>
      <c r="B550" s="71"/>
      <c r="C550" s="70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70"/>
      <c r="B551" s="71"/>
      <c r="C551" s="70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70"/>
      <c r="B552" s="71"/>
      <c r="C552" s="70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70"/>
      <c r="B553" s="71"/>
      <c r="C553" s="70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70"/>
      <c r="B554" s="71"/>
      <c r="C554" s="70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70"/>
      <c r="B555" s="71"/>
      <c r="C555" s="70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70"/>
      <c r="B556" s="71"/>
      <c r="C556" s="70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70"/>
      <c r="B557" s="71"/>
      <c r="C557" s="70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70"/>
      <c r="B558" s="71"/>
      <c r="C558" s="70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70"/>
      <c r="B559" s="71"/>
      <c r="C559" s="70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70"/>
      <c r="B560" s="71"/>
      <c r="C560" s="70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70"/>
      <c r="B561" s="71"/>
      <c r="C561" s="70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70"/>
      <c r="B562" s="71"/>
      <c r="C562" s="70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70"/>
      <c r="B563" s="71"/>
      <c r="C563" s="70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70"/>
      <c r="B564" s="71"/>
      <c r="C564" s="70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70"/>
      <c r="B565" s="71"/>
      <c r="C565" s="70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70"/>
      <c r="B566" s="71"/>
      <c r="C566" s="70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70"/>
      <c r="B567" s="71"/>
      <c r="C567" s="70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70"/>
      <c r="B568" s="71"/>
      <c r="C568" s="70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70"/>
      <c r="B569" s="71"/>
      <c r="C569" s="70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70"/>
      <c r="B570" s="71"/>
      <c r="C570" s="70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70"/>
      <c r="B571" s="71"/>
      <c r="C571" s="70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70"/>
      <c r="B572" s="71"/>
      <c r="C572" s="70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70"/>
      <c r="B573" s="71"/>
      <c r="C573" s="70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70"/>
      <c r="B574" s="71"/>
      <c r="C574" s="70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70"/>
      <c r="B575" s="71"/>
      <c r="C575" s="70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70"/>
      <c r="B576" s="71"/>
      <c r="C576" s="70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70"/>
      <c r="B577" s="71"/>
      <c r="C577" s="70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70"/>
      <c r="B578" s="71"/>
      <c r="C578" s="70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70"/>
      <c r="B579" s="71"/>
      <c r="C579" s="70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70"/>
      <c r="B580" s="71"/>
      <c r="C580" s="70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70"/>
      <c r="B581" s="71"/>
      <c r="C581" s="70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70"/>
      <c r="B582" s="71"/>
      <c r="C582" s="70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70"/>
      <c r="B583" s="71"/>
      <c r="C583" s="70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70"/>
      <c r="B584" s="71"/>
      <c r="C584" s="70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70"/>
      <c r="B585" s="71"/>
      <c r="C585" s="70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70"/>
      <c r="B586" s="71"/>
      <c r="C586" s="70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70"/>
      <c r="B587" s="71"/>
      <c r="C587" s="70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70"/>
      <c r="B588" s="71"/>
      <c r="C588" s="70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70"/>
      <c r="B589" s="71"/>
      <c r="C589" s="70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70"/>
      <c r="B590" s="71"/>
      <c r="C590" s="70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70"/>
      <c r="B591" s="71"/>
      <c r="C591" s="70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70"/>
      <c r="B592" s="71"/>
      <c r="C592" s="70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70"/>
      <c r="B593" s="71"/>
      <c r="C593" s="70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70"/>
      <c r="B594" s="71"/>
      <c r="C594" s="70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70"/>
      <c r="B595" s="71"/>
      <c r="C595" s="70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70"/>
      <c r="B596" s="71"/>
      <c r="C596" s="70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70"/>
      <c r="B597" s="71"/>
      <c r="C597" s="70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70"/>
      <c r="B598" s="71"/>
      <c r="C598" s="70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70"/>
      <c r="B599" s="71"/>
      <c r="C599" s="70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70"/>
      <c r="B600" s="71"/>
      <c r="C600" s="70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70"/>
      <c r="B601" s="71"/>
      <c r="C601" s="70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70"/>
      <c r="B602" s="71"/>
      <c r="C602" s="70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70"/>
      <c r="B603" s="71"/>
      <c r="C603" s="70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70"/>
      <c r="B604" s="71"/>
      <c r="C604" s="70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70"/>
      <c r="B605" s="71"/>
      <c r="C605" s="70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70"/>
      <c r="B606" s="71"/>
      <c r="C606" s="70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70"/>
      <c r="B607" s="71"/>
      <c r="C607" s="70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70"/>
      <c r="B608" s="71"/>
      <c r="C608" s="70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70"/>
      <c r="B609" s="71"/>
      <c r="C609" s="70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70"/>
      <c r="B610" s="71"/>
      <c r="C610" s="70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70"/>
      <c r="B611" s="71"/>
      <c r="C611" s="70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70"/>
      <c r="B612" s="71"/>
      <c r="C612" s="70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70"/>
      <c r="B613" s="71"/>
      <c r="C613" s="70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70"/>
      <c r="B614" s="71"/>
      <c r="C614" s="70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70"/>
      <c r="B615" s="71"/>
      <c r="C615" s="70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70"/>
      <c r="B616" s="71"/>
      <c r="C616" s="70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70"/>
      <c r="B617" s="71"/>
      <c r="C617" s="70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70"/>
      <c r="B618" s="71"/>
      <c r="C618" s="70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70"/>
      <c r="B619" s="71"/>
      <c r="C619" s="70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70"/>
      <c r="B620" s="71"/>
      <c r="C620" s="70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70"/>
      <c r="B621" s="71"/>
      <c r="C621" s="70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70"/>
      <c r="B622" s="71"/>
      <c r="C622" s="70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70"/>
      <c r="B623" s="71"/>
      <c r="C623" s="70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70"/>
      <c r="B624" s="71"/>
      <c r="C624" s="70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70"/>
      <c r="B625" s="71"/>
      <c r="C625" s="70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70"/>
      <c r="B626" s="71"/>
      <c r="C626" s="70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70"/>
      <c r="B627" s="71"/>
      <c r="C627" s="70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70"/>
      <c r="B628" s="71"/>
      <c r="C628" s="70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70"/>
      <c r="B629" s="71"/>
      <c r="C629" s="70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70"/>
      <c r="B630" s="71"/>
      <c r="C630" s="70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70"/>
      <c r="B631" s="71"/>
      <c r="C631" s="70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70"/>
      <c r="B632" s="71"/>
      <c r="C632" s="70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70"/>
      <c r="B633" s="71"/>
      <c r="C633" s="70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70"/>
      <c r="B634" s="71"/>
      <c r="C634" s="70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70"/>
      <c r="B635" s="71"/>
      <c r="C635" s="70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70"/>
      <c r="B636" s="71"/>
      <c r="C636" s="70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70"/>
      <c r="B637" s="71"/>
      <c r="C637" s="70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70"/>
      <c r="B638" s="71"/>
      <c r="C638" s="70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70"/>
      <c r="B639" s="71"/>
      <c r="C639" s="70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70"/>
      <c r="B640" s="71"/>
      <c r="C640" s="70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70"/>
      <c r="B641" s="71"/>
      <c r="C641" s="70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70"/>
      <c r="B642" s="71"/>
      <c r="C642" s="70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70"/>
      <c r="B643" s="71"/>
      <c r="C643" s="70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70"/>
      <c r="B644" s="71"/>
      <c r="C644" s="70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70"/>
      <c r="B645" s="71"/>
      <c r="C645" s="70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70"/>
      <c r="B646" s="71"/>
      <c r="C646" s="70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70"/>
      <c r="B647" s="71"/>
      <c r="C647" s="70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70"/>
      <c r="B648" s="71"/>
      <c r="C648" s="70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70"/>
      <c r="B649" s="71"/>
      <c r="C649" s="70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70"/>
      <c r="B650" s="71"/>
      <c r="C650" s="70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70"/>
      <c r="B651" s="71"/>
      <c r="C651" s="70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70"/>
      <c r="B652" s="71"/>
      <c r="C652" s="70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70"/>
      <c r="B653" s="71"/>
      <c r="C653" s="70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70"/>
      <c r="B654" s="71"/>
      <c r="C654" s="70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70"/>
      <c r="B655" s="71"/>
      <c r="C655" s="70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70"/>
      <c r="B656" s="71"/>
      <c r="C656" s="70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70"/>
      <c r="B657" s="71"/>
      <c r="C657" s="70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70"/>
      <c r="B658" s="71"/>
      <c r="C658" s="70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70"/>
      <c r="B659" s="71"/>
      <c r="C659" s="70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70"/>
      <c r="B660" s="71"/>
      <c r="C660" s="70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70"/>
      <c r="B661" s="71"/>
      <c r="C661" s="70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70"/>
      <c r="B662" s="71"/>
      <c r="C662" s="70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70"/>
      <c r="B663" s="71"/>
      <c r="C663" s="70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70"/>
      <c r="B664" s="71"/>
      <c r="C664" s="70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70"/>
      <c r="B665" s="71"/>
      <c r="C665" s="70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70"/>
      <c r="B666" s="71"/>
      <c r="C666" s="70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70"/>
      <c r="B667" s="71"/>
      <c r="C667" s="70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70"/>
      <c r="B668" s="71"/>
      <c r="C668" s="70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70"/>
      <c r="B669" s="71"/>
      <c r="C669" s="70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70"/>
      <c r="B670" s="71"/>
      <c r="C670" s="70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70"/>
      <c r="B671" s="71"/>
      <c r="C671" s="70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70"/>
      <c r="B672" s="71"/>
      <c r="C672" s="70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70"/>
      <c r="B673" s="71"/>
      <c r="C673" s="70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70"/>
      <c r="B674" s="71"/>
      <c r="C674" s="70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70"/>
      <c r="B675" s="71"/>
      <c r="C675" s="70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70"/>
      <c r="B676" s="71"/>
      <c r="C676" s="70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70"/>
      <c r="B677" s="71"/>
      <c r="C677" s="70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70"/>
      <c r="B678" s="71"/>
      <c r="C678" s="70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70"/>
      <c r="B679" s="71"/>
      <c r="C679" s="70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70"/>
      <c r="B680" s="71"/>
      <c r="C680" s="70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70"/>
      <c r="B681" s="71"/>
      <c r="C681" s="70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70"/>
      <c r="B682" s="71"/>
      <c r="C682" s="70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70"/>
      <c r="B683" s="71"/>
      <c r="C683" s="70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70"/>
      <c r="B684" s="71"/>
      <c r="C684" s="70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70"/>
      <c r="B685" s="71"/>
      <c r="C685" s="70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70"/>
      <c r="B686" s="71"/>
      <c r="C686" s="70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70"/>
      <c r="B687" s="71"/>
      <c r="C687" s="70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70"/>
      <c r="B688" s="71"/>
      <c r="C688" s="70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70"/>
      <c r="B689" s="71"/>
      <c r="C689" s="70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70"/>
      <c r="B690" s="71"/>
      <c r="C690" s="70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70"/>
      <c r="B691" s="71"/>
      <c r="C691" s="70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70"/>
      <c r="B692" s="71"/>
      <c r="C692" s="70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70"/>
      <c r="B693" s="71"/>
      <c r="C693" s="70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70"/>
      <c r="B694" s="71"/>
      <c r="C694" s="70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70"/>
      <c r="B695" s="71"/>
      <c r="C695" s="70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70"/>
      <c r="B696" s="71"/>
      <c r="C696" s="70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70"/>
      <c r="B697" s="71"/>
      <c r="C697" s="70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70"/>
      <c r="B698" s="71"/>
      <c r="C698" s="70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70"/>
      <c r="B699" s="71"/>
      <c r="C699" s="70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70"/>
      <c r="B700" s="71"/>
      <c r="C700" s="70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70"/>
      <c r="B701" s="71"/>
      <c r="C701" s="70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70"/>
      <c r="B702" s="71"/>
      <c r="C702" s="70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70"/>
      <c r="B703" s="71"/>
      <c r="C703" s="70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70"/>
      <c r="B704" s="71"/>
      <c r="C704" s="70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70"/>
      <c r="B705" s="71"/>
      <c r="C705" s="70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70"/>
      <c r="B706" s="71"/>
      <c r="C706" s="70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70"/>
      <c r="B707" s="71"/>
      <c r="C707" s="70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70"/>
      <c r="B708" s="71"/>
      <c r="C708" s="70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70"/>
      <c r="B709" s="71"/>
      <c r="C709" s="70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70"/>
      <c r="B710" s="71"/>
      <c r="C710" s="70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70"/>
      <c r="B711" s="71"/>
      <c r="C711" s="70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70"/>
      <c r="B712" s="71"/>
      <c r="C712" s="70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70"/>
      <c r="B713" s="71"/>
      <c r="C713" s="70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70"/>
      <c r="B714" s="71"/>
      <c r="C714" s="70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70"/>
      <c r="B715" s="71"/>
      <c r="C715" s="70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70"/>
      <c r="B716" s="71"/>
      <c r="C716" s="70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70"/>
      <c r="B717" s="71"/>
      <c r="C717" s="70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70"/>
      <c r="B718" s="71"/>
      <c r="C718" s="70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70"/>
      <c r="B719" s="71"/>
      <c r="C719" s="70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70"/>
      <c r="B720" s="71"/>
      <c r="C720" s="70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70"/>
      <c r="B721" s="71"/>
      <c r="C721" s="70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70"/>
      <c r="B722" s="71"/>
      <c r="C722" s="70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70"/>
      <c r="B723" s="71"/>
      <c r="C723" s="70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70"/>
      <c r="B724" s="71"/>
      <c r="C724" s="70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70"/>
      <c r="B725" s="71"/>
      <c r="C725" s="70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70"/>
      <c r="B726" s="71"/>
      <c r="C726" s="70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70"/>
      <c r="B727" s="71"/>
      <c r="C727" s="70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70"/>
      <c r="B728" s="71"/>
      <c r="C728" s="70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70"/>
      <c r="B729" s="71"/>
      <c r="C729" s="70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70"/>
      <c r="B730" s="71"/>
      <c r="C730" s="70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70"/>
      <c r="B731" s="71"/>
      <c r="C731" s="70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70"/>
      <c r="B732" s="71"/>
      <c r="C732" s="70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70"/>
      <c r="B733" s="71"/>
      <c r="C733" s="70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70"/>
      <c r="B734" s="71"/>
      <c r="C734" s="70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70"/>
      <c r="B735" s="71"/>
      <c r="C735" s="70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70"/>
      <c r="B736" s="71"/>
      <c r="C736" s="70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70"/>
      <c r="B737" s="71"/>
      <c r="C737" s="70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70"/>
      <c r="B738" s="71"/>
      <c r="C738" s="70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70"/>
      <c r="B739" s="71"/>
      <c r="C739" s="70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70"/>
      <c r="B740" s="71"/>
      <c r="C740" s="70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70"/>
      <c r="B741" s="71"/>
      <c r="C741" s="70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70"/>
      <c r="B742" s="71"/>
      <c r="C742" s="70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70"/>
      <c r="B743" s="71"/>
      <c r="C743" s="70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70"/>
      <c r="B744" s="71"/>
      <c r="C744" s="70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70"/>
      <c r="B745" s="71"/>
      <c r="C745" s="70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70"/>
      <c r="B746" s="71"/>
      <c r="C746" s="70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70"/>
      <c r="B747" s="71"/>
      <c r="C747" s="70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70"/>
      <c r="B748" s="71"/>
      <c r="C748" s="70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70"/>
      <c r="B749" s="71"/>
      <c r="C749" s="70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70"/>
      <c r="B750" s="71"/>
      <c r="C750" s="70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70"/>
      <c r="B751" s="71"/>
      <c r="C751" s="70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70"/>
      <c r="B752" s="71"/>
      <c r="C752" s="70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70"/>
      <c r="B753" s="71"/>
      <c r="C753" s="70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70"/>
      <c r="B754" s="71"/>
      <c r="C754" s="70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70"/>
      <c r="B755" s="71"/>
      <c r="C755" s="70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70"/>
      <c r="B756" s="71"/>
      <c r="C756" s="70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70"/>
      <c r="B757" s="71"/>
      <c r="C757" s="70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70"/>
      <c r="B758" s="71"/>
      <c r="C758" s="70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70"/>
      <c r="B759" s="71"/>
      <c r="C759" s="70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70"/>
      <c r="B760" s="71"/>
      <c r="C760" s="70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70"/>
      <c r="B761" s="71"/>
      <c r="C761" s="70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70"/>
      <c r="B762" s="71"/>
      <c r="C762" s="70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70"/>
      <c r="B763" s="71"/>
      <c r="C763" s="70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70"/>
      <c r="B764" s="71"/>
      <c r="C764" s="70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70"/>
      <c r="B765" s="71"/>
      <c r="C765" s="70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70"/>
      <c r="B766" s="71"/>
      <c r="C766" s="70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70"/>
      <c r="B767" s="71"/>
      <c r="C767" s="70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70"/>
      <c r="B768" s="71"/>
      <c r="C768" s="70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70"/>
      <c r="B769" s="71"/>
      <c r="C769" s="70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70"/>
      <c r="B770" s="71"/>
      <c r="C770" s="70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70"/>
      <c r="B771" s="71"/>
      <c r="C771" s="70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70"/>
      <c r="B772" s="71"/>
      <c r="C772" s="70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70"/>
      <c r="B773" s="71"/>
      <c r="C773" s="70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70"/>
      <c r="B774" s="71"/>
      <c r="C774" s="70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70"/>
      <c r="B775" s="71"/>
      <c r="C775" s="70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70"/>
      <c r="B776" s="71"/>
      <c r="C776" s="70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70"/>
      <c r="B777" s="71"/>
      <c r="C777" s="70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70"/>
      <c r="B778" s="71"/>
      <c r="C778" s="70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70"/>
      <c r="B779" s="71"/>
      <c r="C779" s="70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70"/>
      <c r="B780" s="71"/>
      <c r="C780" s="70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70"/>
      <c r="B781" s="71"/>
      <c r="C781" s="70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70"/>
      <c r="B782" s="71"/>
      <c r="C782" s="70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70"/>
      <c r="B783" s="71"/>
      <c r="C783" s="70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70"/>
      <c r="B784" s="71"/>
      <c r="C784" s="70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70"/>
      <c r="B785" s="71"/>
      <c r="C785" s="70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70"/>
      <c r="B786" s="71"/>
      <c r="C786" s="70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70"/>
      <c r="B787" s="71"/>
      <c r="C787" s="70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70"/>
      <c r="B788" s="71"/>
      <c r="C788" s="70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70"/>
      <c r="B789" s="71"/>
      <c r="C789" s="70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70"/>
      <c r="B790" s="71"/>
      <c r="C790" s="70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70"/>
      <c r="B791" s="71"/>
      <c r="C791" s="70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70"/>
      <c r="B792" s="71"/>
      <c r="C792" s="70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70"/>
      <c r="B793" s="71"/>
      <c r="C793" s="70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70"/>
      <c r="B794" s="71"/>
      <c r="C794" s="70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70"/>
      <c r="B795" s="71"/>
      <c r="C795" s="70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70"/>
      <c r="B796" s="71"/>
      <c r="C796" s="70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70"/>
      <c r="B797" s="71"/>
      <c r="C797" s="70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70"/>
      <c r="B798" s="71"/>
      <c r="C798" s="70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70"/>
      <c r="B799" s="71"/>
      <c r="C799" s="70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70"/>
      <c r="B800" s="71"/>
      <c r="C800" s="70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70"/>
      <c r="B801" s="71"/>
      <c r="C801" s="70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70"/>
      <c r="B802" s="71"/>
      <c r="C802" s="70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70"/>
      <c r="B803" s="71"/>
      <c r="C803" s="70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70"/>
      <c r="B804" s="71"/>
      <c r="C804" s="70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70"/>
      <c r="B805" s="71"/>
      <c r="C805" s="70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70"/>
      <c r="B806" s="71"/>
      <c r="C806" s="70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70"/>
      <c r="B807" s="71"/>
      <c r="C807" s="70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70"/>
      <c r="B808" s="71"/>
      <c r="C808" s="70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70"/>
      <c r="B809" s="71"/>
      <c r="C809" s="70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70"/>
      <c r="B810" s="71"/>
      <c r="C810" s="70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70"/>
      <c r="B811" s="71"/>
      <c r="C811" s="70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70"/>
      <c r="B812" s="71"/>
      <c r="C812" s="70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70"/>
      <c r="B813" s="71"/>
      <c r="C813" s="70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70"/>
      <c r="B814" s="71"/>
      <c r="C814" s="70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70"/>
      <c r="B815" s="71"/>
      <c r="C815" s="70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70"/>
      <c r="B816" s="71"/>
      <c r="C816" s="70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70"/>
      <c r="B817" s="71"/>
      <c r="C817" s="70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70"/>
      <c r="B818" s="71"/>
      <c r="C818" s="70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70"/>
      <c r="B819" s="71"/>
      <c r="C819" s="70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70"/>
      <c r="B820" s="71"/>
      <c r="C820" s="70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70"/>
      <c r="B821" s="71"/>
      <c r="C821" s="70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70"/>
      <c r="B822" s="71"/>
      <c r="C822" s="70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70"/>
      <c r="B823" s="71"/>
      <c r="C823" s="70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70"/>
      <c r="B824" s="71"/>
      <c r="C824" s="70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70"/>
      <c r="B825" s="71"/>
      <c r="C825" s="70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70"/>
      <c r="B826" s="71"/>
      <c r="C826" s="70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70"/>
      <c r="B827" s="71"/>
      <c r="C827" s="70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70"/>
      <c r="B828" s="71"/>
      <c r="C828" s="70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70"/>
      <c r="B829" s="71"/>
      <c r="C829" s="70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70"/>
      <c r="B830" s="71"/>
      <c r="C830" s="70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70"/>
      <c r="B831" s="71"/>
      <c r="C831" s="70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70"/>
      <c r="B832" s="71"/>
      <c r="C832" s="70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70"/>
      <c r="B833" s="71"/>
      <c r="C833" s="70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70"/>
      <c r="B834" s="71"/>
      <c r="C834" s="70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70"/>
      <c r="B835" s="71"/>
      <c r="C835" s="70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70"/>
      <c r="B836" s="71"/>
      <c r="C836" s="70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70"/>
      <c r="B837" s="71"/>
      <c r="C837" s="70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70"/>
      <c r="B838" s="71"/>
      <c r="C838" s="70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70"/>
      <c r="B839" s="71"/>
      <c r="C839" s="70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70"/>
      <c r="B840" s="71"/>
      <c r="C840" s="70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70"/>
      <c r="B841" s="71"/>
      <c r="C841" s="70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70"/>
      <c r="B842" s="71"/>
      <c r="C842" s="70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70"/>
      <c r="B843" s="71"/>
      <c r="C843" s="70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70"/>
      <c r="B844" s="71"/>
      <c r="C844" s="70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70"/>
      <c r="B845" s="71"/>
      <c r="C845" s="70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70"/>
      <c r="B846" s="71"/>
      <c r="C846" s="70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70"/>
      <c r="B847" s="71"/>
      <c r="C847" s="70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70"/>
      <c r="B848" s="71"/>
      <c r="C848" s="70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70"/>
      <c r="B849" s="71"/>
      <c r="C849" s="70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70"/>
      <c r="B850" s="71"/>
      <c r="C850" s="70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70"/>
      <c r="B851" s="71"/>
      <c r="C851" s="70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70"/>
      <c r="B852" s="71"/>
      <c r="C852" s="70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70"/>
      <c r="B853" s="71"/>
      <c r="C853" s="70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70"/>
      <c r="B854" s="71"/>
      <c r="C854" s="70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70"/>
      <c r="B855" s="71"/>
      <c r="C855" s="70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70"/>
      <c r="B856" s="71"/>
      <c r="C856" s="70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70"/>
      <c r="B857" s="71"/>
      <c r="C857" s="70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70"/>
      <c r="B858" s="71"/>
      <c r="C858" s="70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70"/>
      <c r="B859" s="71"/>
      <c r="C859" s="70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70"/>
      <c r="B860" s="71"/>
      <c r="C860" s="70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70"/>
      <c r="B861" s="71"/>
      <c r="C861" s="70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70"/>
      <c r="B862" s="71"/>
      <c r="C862" s="70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70"/>
      <c r="B863" s="71"/>
      <c r="C863" s="70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70"/>
      <c r="B864" s="71"/>
      <c r="C864" s="70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70"/>
      <c r="B865" s="71"/>
      <c r="C865" s="70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70"/>
      <c r="B866" s="71"/>
      <c r="C866" s="70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70"/>
      <c r="B867" s="71"/>
      <c r="C867" s="70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70"/>
      <c r="B868" s="71"/>
      <c r="C868" s="70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70"/>
      <c r="B869" s="71"/>
      <c r="C869" s="70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70"/>
      <c r="B870" s="71"/>
      <c r="C870" s="70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70"/>
      <c r="B871" s="71"/>
      <c r="C871" s="70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70"/>
      <c r="B872" s="71"/>
      <c r="C872" s="70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70"/>
      <c r="B873" s="71"/>
      <c r="C873" s="70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70"/>
      <c r="B874" s="71"/>
      <c r="C874" s="70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70"/>
      <c r="B875" s="71"/>
      <c r="C875" s="70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70"/>
      <c r="B876" s="71"/>
      <c r="C876" s="70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70"/>
      <c r="B877" s="71"/>
      <c r="C877" s="70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70"/>
      <c r="B878" s="71"/>
      <c r="C878" s="70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70"/>
      <c r="B879" s="71"/>
      <c r="C879" s="70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70"/>
      <c r="B880" s="71"/>
      <c r="C880" s="70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70"/>
      <c r="B881" s="71"/>
      <c r="C881" s="70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70"/>
      <c r="B882" s="71"/>
      <c r="C882" s="70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70"/>
      <c r="B883" s="71"/>
      <c r="C883" s="70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70"/>
      <c r="B884" s="71"/>
      <c r="C884" s="70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70"/>
      <c r="B885" s="71"/>
      <c r="C885" s="70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70"/>
      <c r="B886" s="71"/>
      <c r="C886" s="70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70"/>
      <c r="B887" s="71"/>
      <c r="C887" s="70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70"/>
      <c r="B888" s="71"/>
      <c r="C888" s="70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70"/>
      <c r="B889" s="71"/>
      <c r="C889" s="70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70"/>
      <c r="B890" s="71"/>
      <c r="C890" s="70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70"/>
      <c r="B891" s="71"/>
      <c r="C891" s="70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70"/>
      <c r="B892" s="71"/>
      <c r="C892" s="70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70"/>
      <c r="B893" s="71"/>
      <c r="C893" s="70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70"/>
      <c r="B894" s="71"/>
      <c r="C894" s="70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70"/>
      <c r="B895" s="71"/>
      <c r="C895" s="70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70"/>
      <c r="B896" s="71"/>
      <c r="C896" s="70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70"/>
      <c r="B897" s="71"/>
      <c r="C897" s="70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70"/>
      <c r="B898" s="71"/>
      <c r="C898" s="70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70"/>
      <c r="B899" s="71"/>
      <c r="C899" s="70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70"/>
      <c r="B900" s="71"/>
      <c r="C900" s="70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70"/>
      <c r="B901" s="71"/>
      <c r="C901" s="70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70"/>
      <c r="B902" s="71"/>
      <c r="C902" s="70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70"/>
      <c r="B903" s="71"/>
      <c r="C903" s="70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70"/>
      <c r="B904" s="71"/>
      <c r="C904" s="70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70"/>
      <c r="B905" s="71"/>
      <c r="C905" s="70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70"/>
      <c r="B906" s="71"/>
      <c r="C906" s="70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70"/>
      <c r="B907" s="71"/>
      <c r="C907" s="70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70"/>
      <c r="B908" s="71"/>
      <c r="C908" s="70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70"/>
      <c r="B909" s="71"/>
      <c r="C909" s="70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70"/>
      <c r="B910" s="71"/>
      <c r="C910" s="70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70"/>
      <c r="B911" s="71"/>
      <c r="C911" s="70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70"/>
      <c r="B912" s="71"/>
      <c r="C912" s="70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70"/>
      <c r="B913" s="71"/>
      <c r="C913" s="70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70"/>
      <c r="B914" s="71"/>
      <c r="C914" s="70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70"/>
      <c r="B915" s="71"/>
      <c r="C915" s="70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70"/>
      <c r="B916" s="71"/>
      <c r="C916" s="70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70"/>
      <c r="B917" s="71"/>
      <c r="C917" s="70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70"/>
      <c r="B918" s="71"/>
      <c r="C918" s="70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70"/>
      <c r="B919" s="71"/>
      <c r="C919" s="70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70"/>
      <c r="B920" s="71"/>
      <c r="C920" s="70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70"/>
      <c r="B921" s="71"/>
      <c r="C921" s="70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70"/>
      <c r="B922" s="71"/>
      <c r="C922" s="70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70"/>
      <c r="B923" s="71"/>
      <c r="C923" s="70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70"/>
      <c r="B924" s="71"/>
      <c r="C924" s="70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70"/>
      <c r="B925" s="71"/>
      <c r="C925" s="70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70"/>
      <c r="B926" s="71"/>
      <c r="C926" s="70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70"/>
      <c r="B927" s="71"/>
      <c r="C927" s="70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70"/>
      <c r="B928" s="71"/>
      <c r="C928" s="70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70"/>
      <c r="B929" s="71"/>
      <c r="C929" s="70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70"/>
      <c r="B930" s="71"/>
      <c r="C930" s="70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70"/>
      <c r="B931" s="71"/>
      <c r="C931" s="70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70"/>
      <c r="B932" s="71"/>
      <c r="C932" s="70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70"/>
      <c r="B933" s="71"/>
      <c r="C933" s="70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70"/>
      <c r="B934" s="71"/>
      <c r="C934" s="70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70"/>
      <c r="B935" s="71"/>
      <c r="C935" s="70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70"/>
      <c r="B936" s="71"/>
      <c r="C936" s="70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70"/>
      <c r="B937" s="71"/>
      <c r="C937" s="70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70"/>
      <c r="B938" s="71"/>
      <c r="C938" s="70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70"/>
      <c r="B939" s="71"/>
      <c r="C939" s="70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70"/>
      <c r="B940" s="71"/>
      <c r="C940" s="70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70"/>
      <c r="B941" s="71"/>
      <c r="C941" s="70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70"/>
      <c r="B942" s="71"/>
      <c r="C942" s="70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70"/>
      <c r="B943" s="71"/>
      <c r="C943" s="70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70"/>
      <c r="B944" s="71"/>
      <c r="C944" s="70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70"/>
      <c r="B945" s="71"/>
      <c r="C945" s="70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70"/>
      <c r="B946" s="71"/>
      <c r="C946" s="70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70"/>
      <c r="B947" s="71"/>
      <c r="C947" s="70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70"/>
      <c r="B948" s="71"/>
      <c r="C948" s="70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70"/>
      <c r="B949" s="71"/>
      <c r="C949" s="70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70"/>
      <c r="B950" s="71"/>
      <c r="C950" s="70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70"/>
      <c r="B951" s="71"/>
      <c r="C951" s="70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70"/>
      <c r="B952" s="71"/>
      <c r="C952" s="70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70"/>
      <c r="B953" s="71"/>
      <c r="C953" s="70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70"/>
      <c r="B954" s="71"/>
      <c r="C954" s="70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70"/>
      <c r="B955" s="71"/>
      <c r="C955" s="70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70"/>
      <c r="B956" s="71"/>
      <c r="C956" s="70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70"/>
      <c r="B957" s="71"/>
      <c r="C957" s="70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70"/>
      <c r="B958" s="71"/>
      <c r="C958" s="70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70"/>
      <c r="B959" s="71"/>
      <c r="C959" s="70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70"/>
      <c r="B960" s="71"/>
      <c r="C960" s="70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70"/>
      <c r="B961" s="71"/>
      <c r="C961" s="70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70"/>
      <c r="B962" s="71"/>
      <c r="C962" s="70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70"/>
      <c r="B963" s="71"/>
      <c r="C963" s="70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70"/>
      <c r="B964" s="71"/>
      <c r="C964" s="70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70"/>
      <c r="B965" s="71"/>
      <c r="C965" s="70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70"/>
      <c r="B966" s="71"/>
      <c r="C966" s="70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70"/>
      <c r="B967" s="71"/>
      <c r="C967" s="70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70"/>
      <c r="B968" s="71"/>
      <c r="C968" s="70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70"/>
      <c r="B969" s="71"/>
      <c r="C969" s="70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70"/>
      <c r="B970" s="71"/>
      <c r="C970" s="70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70"/>
      <c r="B971" s="71"/>
      <c r="C971" s="70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70"/>
      <c r="B972" s="71"/>
      <c r="C972" s="70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70"/>
      <c r="B973" s="71"/>
      <c r="C973" s="70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70"/>
      <c r="B974" s="71"/>
      <c r="C974" s="70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70"/>
      <c r="B975" s="71"/>
      <c r="C975" s="70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70"/>
      <c r="B976" s="71"/>
      <c r="C976" s="70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70"/>
      <c r="B977" s="71"/>
      <c r="C977" s="70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70"/>
      <c r="B978" s="71"/>
      <c r="C978" s="70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70"/>
      <c r="B979" s="71"/>
      <c r="C979" s="70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70"/>
      <c r="B980" s="71"/>
      <c r="C980" s="70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70"/>
      <c r="B981" s="71"/>
      <c r="C981" s="70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70"/>
      <c r="B982" s="71"/>
      <c r="C982" s="70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70"/>
      <c r="B983" s="71"/>
      <c r="C983" s="70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70"/>
      <c r="B984" s="71"/>
      <c r="C984" s="70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70"/>
      <c r="B985" s="71"/>
      <c r="C985" s="70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70"/>
      <c r="B986" s="71"/>
      <c r="C986" s="70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70"/>
      <c r="B987" s="71"/>
      <c r="C987" s="70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70"/>
      <c r="B988" s="71"/>
      <c r="C988" s="70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70"/>
      <c r="B989" s="71"/>
      <c r="C989" s="70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70"/>
      <c r="B990" s="71"/>
      <c r="C990" s="70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70"/>
      <c r="B991" s="71"/>
      <c r="C991" s="70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70"/>
      <c r="B992" s="71"/>
      <c r="C992" s="70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70"/>
      <c r="B993" s="71"/>
      <c r="C993" s="70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70"/>
      <c r="B994" s="71"/>
      <c r="C994" s="70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70"/>
      <c r="B995" s="71"/>
      <c r="C995" s="70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70"/>
      <c r="B996" s="71"/>
      <c r="C996" s="70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70"/>
      <c r="B997" s="71"/>
      <c r="C997" s="70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70"/>
      <c r="B998" s="71"/>
      <c r="C998" s="70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70"/>
      <c r="B999" s="71"/>
      <c r="C999" s="70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70"/>
      <c r="B1000" s="71"/>
      <c r="C1000" s="70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70"/>
      <c r="B1001" s="71"/>
      <c r="C1001" s="70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30">
    <mergeCell ref="E6:G6"/>
    <mergeCell ref="E7:G7"/>
    <mergeCell ref="E8:G8"/>
    <mergeCell ref="E9:G9"/>
    <mergeCell ref="A10:G10"/>
    <mergeCell ref="A1:C1"/>
    <mergeCell ref="E1:G1"/>
    <mergeCell ref="A2:C3"/>
    <mergeCell ref="E2:G2"/>
    <mergeCell ref="E3:G3"/>
    <mergeCell ref="A4:G4"/>
    <mergeCell ref="E5:G5"/>
    <mergeCell ref="A5:C5"/>
    <mergeCell ref="A6:C6"/>
    <mergeCell ref="A7:C7"/>
    <mergeCell ref="A8:C8"/>
    <mergeCell ref="A9:C9"/>
    <mergeCell ref="A22:B22"/>
    <mergeCell ref="A23:G23"/>
    <mergeCell ref="A29:F29"/>
    <mergeCell ref="A30:F30"/>
    <mergeCell ref="A31:F31"/>
    <mergeCell ref="A32:F32"/>
    <mergeCell ref="A24:G24"/>
    <mergeCell ref="A25:G25"/>
    <mergeCell ref="A26:B26"/>
    <mergeCell ref="C26:F26"/>
    <mergeCell ref="A27:B27"/>
    <mergeCell ref="C27:F27"/>
    <mergeCell ref="A28:F28"/>
  </mergeCells>
  <hyperlinks>
    <hyperlink r:id="rId1" ref="A8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7.63"/>
    <col customWidth="1" min="3" max="3" width="53.63"/>
    <col customWidth="1" min="4" max="4" width="13.88"/>
    <col customWidth="1" min="5" max="8" width="10.63"/>
    <col customWidth="1" min="9" max="26" width="7.88"/>
  </cols>
  <sheetData>
    <row r="1" ht="45.75" customHeight="1">
      <c r="A1" s="72"/>
      <c r="D1" s="73" t="s">
        <v>0</v>
      </c>
      <c r="E1" s="4"/>
      <c r="F1" s="4"/>
      <c r="G1" s="4"/>
      <c r="H1" s="74"/>
      <c r="I1" s="75" t="s">
        <v>43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6" t="s">
        <v>44</v>
      </c>
      <c r="B2" s="7"/>
      <c r="C2" s="7"/>
      <c r="D2" s="8"/>
      <c r="E2" s="77" t="s">
        <v>45</v>
      </c>
      <c r="F2" s="11"/>
      <c r="G2" s="12"/>
      <c r="H2" s="78"/>
      <c r="I2" s="7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4"/>
      <c r="B3" s="4"/>
      <c r="C3" s="4"/>
      <c r="D3" s="15"/>
      <c r="E3" s="80" t="s">
        <v>46</v>
      </c>
      <c r="F3" s="11"/>
      <c r="G3" s="12"/>
      <c r="H3" s="78"/>
      <c r="I3" s="8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82"/>
      <c r="B4" s="11"/>
      <c r="C4" s="11"/>
      <c r="D4" s="11"/>
      <c r="E4" s="11"/>
      <c r="F4" s="11"/>
      <c r="G4" s="12"/>
      <c r="H4" s="78"/>
      <c r="I4" s="7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83" t="s">
        <v>47</v>
      </c>
      <c r="B5" s="11"/>
      <c r="C5" s="11"/>
      <c r="D5" s="12"/>
      <c r="E5" s="80" t="s">
        <v>48</v>
      </c>
      <c r="F5" s="11"/>
      <c r="G5" s="12"/>
      <c r="H5" s="78"/>
      <c r="I5" s="8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83" t="s">
        <v>49</v>
      </c>
      <c r="B6" s="11"/>
      <c r="C6" s="11"/>
      <c r="D6" s="12"/>
      <c r="E6" s="85" t="s">
        <v>50</v>
      </c>
      <c r="F6" s="11"/>
      <c r="G6" s="12"/>
      <c r="H6" s="81"/>
      <c r="I6" s="81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3" t="s">
        <v>51</v>
      </c>
      <c r="B7" s="11"/>
      <c r="C7" s="11"/>
      <c r="D7" s="12"/>
      <c r="E7" s="85" t="s">
        <v>52</v>
      </c>
      <c r="F7" s="11"/>
      <c r="G7" s="12"/>
      <c r="H7" s="81"/>
      <c r="I7" s="8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6" t="s">
        <v>53</v>
      </c>
      <c r="B8" s="4"/>
      <c r="C8" s="4"/>
      <c r="D8" s="15"/>
      <c r="E8" s="87" t="s">
        <v>54</v>
      </c>
      <c r="F8" s="4"/>
      <c r="G8" s="15"/>
      <c r="H8" s="78"/>
      <c r="I8" s="79"/>
      <c r="J8" s="5"/>
      <c r="K8" s="5"/>
      <c r="L8" s="5"/>
      <c r="M8" s="7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83" t="s">
        <v>55</v>
      </c>
      <c r="B9" s="11"/>
      <c r="C9" s="11"/>
      <c r="D9" s="12"/>
      <c r="E9" s="87" t="s">
        <v>56</v>
      </c>
      <c r="F9" s="4"/>
      <c r="G9" s="15"/>
      <c r="H9" s="81"/>
      <c r="I9" s="79"/>
      <c r="J9" s="5"/>
      <c r="K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83" t="s">
        <v>57</v>
      </c>
      <c r="B10" s="11"/>
      <c r="C10" s="11"/>
      <c r="D10" s="11"/>
      <c r="E10" s="11"/>
      <c r="F10" s="11"/>
      <c r="G10" s="12"/>
      <c r="H10" s="78"/>
      <c r="I10" s="79" t="s">
        <v>58</v>
      </c>
      <c r="J10" s="5"/>
      <c r="K10" s="88" t="s">
        <v>59</v>
      </c>
      <c r="L10" s="89"/>
      <c r="M10" s="89"/>
      <c r="N10" s="79" t="s">
        <v>60</v>
      </c>
      <c r="P10" s="88" t="s">
        <v>61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0" customHeight="1">
      <c r="A11" s="90" t="s">
        <v>16</v>
      </c>
      <c r="B11" s="91" t="s">
        <v>17</v>
      </c>
      <c r="C11" s="91" t="s">
        <v>18</v>
      </c>
      <c r="D11" s="91" t="s">
        <v>19</v>
      </c>
      <c r="E11" s="90" t="s">
        <v>20</v>
      </c>
      <c r="F11" s="92" t="s">
        <v>62</v>
      </c>
      <c r="G11" s="92" t="s">
        <v>63</v>
      </c>
      <c r="H11" s="93"/>
      <c r="I11" s="79" t="s">
        <v>64</v>
      </c>
      <c r="K11" s="89" t="s">
        <v>65</v>
      </c>
      <c r="L11" s="89"/>
      <c r="M11" s="89"/>
      <c r="N11" s="79" t="s">
        <v>66</v>
      </c>
      <c r="O11" s="78"/>
      <c r="P11" s="89" t="s">
        <v>67</v>
      </c>
      <c r="Q11" s="89"/>
      <c r="R11" s="94"/>
      <c r="S11" s="94"/>
      <c r="T11" s="94"/>
      <c r="U11" s="94"/>
      <c r="V11" s="94"/>
      <c r="W11" s="94"/>
      <c r="X11" s="94"/>
      <c r="Y11" s="94"/>
      <c r="Z11" s="94"/>
    </row>
    <row r="12" ht="25.5" customHeight="1">
      <c r="A12" s="95" t="s">
        <v>68</v>
      </c>
      <c r="B12" s="96" t="s">
        <v>69</v>
      </c>
      <c r="C12" s="96" t="s">
        <v>70</v>
      </c>
      <c r="D12" s="96" t="s">
        <v>71</v>
      </c>
      <c r="E12" s="96" t="s">
        <v>72</v>
      </c>
      <c r="F12" s="97" t="s">
        <v>73</v>
      </c>
      <c r="G12" s="98" t="s">
        <v>74</v>
      </c>
      <c r="H12" s="78"/>
      <c r="I12" s="79" t="s">
        <v>75</v>
      </c>
      <c r="K12" s="89" t="s">
        <v>76</v>
      </c>
      <c r="M12" s="89"/>
      <c r="N12" s="79" t="s">
        <v>77</v>
      </c>
      <c r="P12" s="89" t="s">
        <v>78</v>
      </c>
      <c r="Q12" s="94"/>
      <c r="R12" s="43"/>
      <c r="S12" s="43"/>
      <c r="T12" s="43"/>
      <c r="U12" s="43"/>
      <c r="V12" s="43"/>
      <c r="W12" s="43"/>
      <c r="X12" s="43"/>
      <c r="Y12" s="43"/>
      <c r="Z12" s="43"/>
    </row>
    <row r="13" ht="37.5" customHeight="1">
      <c r="A13" s="99"/>
      <c r="B13" s="12"/>
      <c r="C13" s="100" t="s">
        <v>31</v>
      </c>
      <c r="D13" s="101"/>
      <c r="E13" s="102" t="s">
        <v>79</v>
      </c>
      <c r="F13" s="103" t="s">
        <v>80</v>
      </c>
      <c r="G13" s="12"/>
      <c r="H13" s="104"/>
      <c r="I13" s="79" t="s">
        <v>81</v>
      </c>
      <c r="J13" s="5"/>
      <c r="K13" s="89" t="s">
        <v>82</v>
      </c>
      <c r="M13" s="89"/>
      <c r="N13" s="79" t="s">
        <v>83</v>
      </c>
      <c r="O13" s="5"/>
      <c r="P13" s="89" t="s">
        <v>84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83" t="s">
        <v>85</v>
      </c>
      <c r="B14" s="11"/>
      <c r="C14" s="11"/>
      <c r="D14" s="11"/>
      <c r="E14" s="11"/>
      <c r="F14" s="11"/>
      <c r="G14" s="12"/>
      <c r="H14" s="105"/>
      <c r="I14" s="79" t="s">
        <v>86</v>
      </c>
      <c r="J14" s="5"/>
      <c r="K14" s="89" t="s">
        <v>87</v>
      </c>
      <c r="M14" s="89"/>
      <c r="N14" s="79" t="s">
        <v>88</v>
      </c>
      <c r="P14" s="89" t="s">
        <v>89</v>
      </c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76" t="s">
        <v>90</v>
      </c>
      <c r="B15" s="7"/>
      <c r="C15" s="7"/>
      <c r="D15" s="7"/>
      <c r="E15" s="7"/>
      <c r="F15" s="7"/>
      <c r="G15" s="8"/>
      <c r="H15" s="105"/>
      <c r="M15" s="89"/>
      <c r="N15" s="79"/>
      <c r="O15" s="89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99.75" customHeight="1">
      <c r="A16" s="83" t="s">
        <v>91</v>
      </c>
      <c r="B16" s="11"/>
      <c r="C16" s="11"/>
      <c r="D16" s="11"/>
      <c r="E16" s="11"/>
      <c r="F16" s="11"/>
      <c r="G16" s="12"/>
      <c r="H16" s="106"/>
      <c r="M16" s="89"/>
      <c r="N16" s="79"/>
      <c r="O16" s="89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107" t="s">
        <v>92</v>
      </c>
      <c r="B17" s="11"/>
      <c r="C17" s="11"/>
      <c r="D17" s="11"/>
      <c r="E17" s="11"/>
      <c r="F17" s="11"/>
      <c r="G17" s="12"/>
      <c r="H17" s="105"/>
      <c r="I17" s="108"/>
      <c r="J17" s="13" t="s">
        <v>93</v>
      </c>
      <c r="K17" s="5"/>
      <c r="L17" s="5"/>
      <c r="M17" s="5"/>
      <c r="N17" s="5"/>
      <c r="O17" s="89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107" t="s">
        <v>94</v>
      </c>
      <c r="B18" s="11"/>
      <c r="C18" s="11"/>
      <c r="D18" s="11"/>
      <c r="E18" s="11"/>
      <c r="F18" s="11"/>
      <c r="G18" s="12"/>
      <c r="H18" s="106"/>
      <c r="I18" s="109"/>
      <c r="J18" s="13" t="s">
        <v>93</v>
      </c>
      <c r="K18" s="5"/>
      <c r="L18" s="5"/>
      <c r="M18" s="5"/>
      <c r="N18" s="5"/>
      <c r="O18" s="8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107" t="s">
        <v>95</v>
      </c>
      <c r="B19" s="11"/>
      <c r="C19" s="11"/>
      <c r="D19" s="11"/>
      <c r="E19" s="11"/>
      <c r="F19" s="11"/>
      <c r="G19" s="12"/>
      <c r="H19" s="105"/>
      <c r="I19" s="75"/>
      <c r="J19" s="110" t="s">
        <v>96</v>
      </c>
      <c r="K19" s="5"/>
      <c r="L19" s="5"/>
      <c r="M19" s="5"/>
      <c r="N19" s="5"/>
      <c r="O19" s="8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07" t="s">
        <v>97</v>
      </c>
      <c r="B20" s="11"/>
      <c r="C20" s="11"/>
      <c r="D20" s="11"/>
      <c r="E20" s="11"/>
      <c r="F20" s="11"/>
      <c r="G20" s="12"/>
      <c r="H20" s="105"/>
      <c r="I20" s="75"/>
      <c r="J20" s="13" t="s">
        <v>98</v>
      </c>
      <c r="K20" s="5"/>
      <c r="L20" s="5"/>
      <c r="M20" s="5"/>
      <c r="N20" s="5"/>
      <c r="O20" s="8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107" t="s">
        <v>99</v>
      </c>
      <c r="B21" s="11"/>
      <c r="C21" s="11"/>
      <c r="D21" s="11"/>
      <c r="E21" s="11"/>
      <c r="F21" s="11"/>
      <c r="G21" s="12"/>
      <c r="H21" s="106"/>
      <c r="I21" s="75"/>
      <c r="J21" s="13" t="s">
        <v>100</v>
      </c>
      <c r="K21" s="5"/>
      <c r="L21" s="5"/>
      <c r="M21" s="5"/>
      <c r="N21" s="5"/>
      <c r="O21" s="8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107" t="s">
        <v>101</v>
      </c>
      <c r="B22" s="11"/>
      <c r="C22" s="11"/>
      <c r="D22" s="11"/>
      <c r="E22" s="11"/>
      <c r="F22" s="11"/>
      <c r="G22" s="12"/>
      <c r="H22" s="106"/>
      <c r="I22" s="111"/>
      <c r="J22" s="13" t="s">
        <v>102</v>
      </c>
      <c r="K22" s="5"/>
      <c r="L22" s="5"/>
      <c r="M22" s="5"/>
      <c r="N22" s="5"/>
      <c r="O22" s="8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107" t="s">
        <v>103</v>
      </c>
      <c r="B23" s="11"/>
      <c r="C23" s="11"/>
      <c r="D23" s="11"/>
      <c r="E23" s="11"/>
      <c r="F23" s="11"/>
      <c r="G23" s="12"/>
      <c r="H23" s="106"/>
      <c r="I23" s="111"/>
      <c r="J23" s="13" t="s">
        <v>104</v>
      </c>
      <c r="K23" s="5"/>
      <c r="L23" s="5"/>
      <c r="M23" s="5"/>
      <c r="N23" s="5"/>
      <c r="O23" s="89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8.25" customHeight="1">
      <c r="A24" s="5"/>
      <c r="B24" s="5"/>
      <c r="C24" s="5"/>
      <c r="D24" s="5"/>
      <c r="E24" s="5"/>
      <c r="F24" s="5"/>
      <c r="G24" s="5"/>
      <c r="H24" s="104"/>
      <c r="I24" s="11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104"/>
      <c r="I25" s="11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104"/>
      <c r="I26" s="11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104"/>
      <c r="I27" s="111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104"/>
      <c r="I28" s="11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104"/>
      <c r="I29" s="11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104"/>
      <c r="I30" s="111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104"/>
      <c r="I31" s="11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104"/>
      <c r="I32" s="11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104"/>
      <c r="I33" s="11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104"/>
      <c r="I34" s="11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104"/>
      <c r="I35" s="11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E36" s="5"/>
      <c r="F36" s="5"/>
      <c r="G36" s="5"/>
      <c r="H36" s="104"/>
      <c r="I36" s="11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112">
        <v>1000000.0</v>
      </c>
      <c r="D37" s="5"/>
      <c r="E37" s="5"/>
      <c r="F37" s="5"/>
      <c r="G37" s="5"/>
      <c r="H37" s="104"/>
      <c r="I37" s="11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110" t="s">
        <v>105</v>
      </c>
      <c r="C38" s="13">
        <v>12.0</v>
      </c>
      <c r="D38" s="5"/>
      <c r="E38" s="5"/>
      <c r="F38" s="5"/>
      <c r="G38" s="5"/>
      <c r="H38" s="104"/>
      <c r="I38" s="11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13" t="s">
        <v>106</v>
      </c>
      <c r="C39" s="113">
        <f>C37/(100+C38)*C38</f>
        <v>107142.8571</v>
      </c>
      <c r="D39" s="5"/>
      <c r="E39" s="5"/>
      <c r="F39" s="5"/>
      <c r="G39" s="5"/>
      <c r="H39" s="104"/>
      <c r="I39" s="111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113">
        <f>C37-C39</f>
        <v>892857.1429</v>
      </c>
      <c r="D40" s="5"/>
      <c r="E40" s="5"/>
      <c r="F40" s="5"/>
      <c r="G40" s="5"/>
      <c r="H40" s="104"/>
      <c r="I40" s="11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113">
        <f>C40*C38/100</f>
        <v>107142.8571</v>
      </c>
      <c r="D41" s="5"/>
      <c r="E41" s="5"/>
      <c r="F41" s="5"/>
      <c r="G41" s="5"/>
      <c r="H41" s="104"/>
      <c r="I41" s="11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113">
        <f>C40+C41</f>
        <v>1000000</v>
      </c>
      <c r="D42" s="5"/>
      <c r="E42" s="5"/>
      <c r="F42" s="5"/>
      <c r="G42" s="5"/>
      <c r="H42" s="104"/>
      <c r="I42" s="11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104"/>
      <c r="I43" s="11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104"/>
      <c r="I44" s="11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104"/>
      <c r="I45" s="11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104"/>
      <c r="I46" s="11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104"/>
      <c r="I47" s="11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104"/>
      <c r="I48" s="111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104"/>
      <c r="I49" s="11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104"/>
      <c r="I50" s="11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104"/>
      <c r="I51" s="11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104"/>
      <c r="I52" s="11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104"/>
      <c r="I53" s="11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104"/>
      <c r="I54" s="11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104"/>
      <c r="I55" s="11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104"/>
      <c r="I56" s="11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104"/>
      <c r="I57" s="11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104"/>
      <c r="I58" s="11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104"/>
      <c r="I59" s="11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104"/>
      <c r="I60" s="11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104"/>
      <c r="I61" s="11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104"/>
      <c r="I62" s="11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104"/>
      <c r="I63" s="11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104"/>
      <c r="I64" s="111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104"/>
      <c r="I65" s="11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104"/>
      <c r="I66" s="11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104"/>
      <c r="I67" s="11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104"/>
      <c r="I68" s="11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104"/>
      <c r="I69" s="11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104"/>
      <c r="I70" s="11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104"/>
      <c r="I71" s="111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104"/>
      <c r="I72" s="11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104"/>
      <c r="I73" s="11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104"/>
      <c r="I74" s="11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104"/>
      <c r="I75" s="11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104"/>
      <c r="I76" s="11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104"/>
      <c r="I77" s="11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104"/>
      <c r="I78" s="11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104"/>
      <c r="I79" s="11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104"/>
      <c r="I80" s="11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104"/>
      <c r="I81" s="11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104"/>
      <c r="I82" s="11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104"/>
      <c r="I83" s="11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104"/>
      <c r="I84" s="11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104"/>
      <c r="I85" s="11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104"/>
      <c r="I86" s="11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104"/>
      <c r="I87" s="11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104"/>
      <c r="I88" s="11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104"/>
      <c r="I89" s="111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104"/>
      <c r="I90" s="111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104"/>
      <c r="I91" s="11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104"/>
      <c r="I92" s="11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104"/>
      <c r="I93" s="11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104"/>
      <c r="I94" s="11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104"/>
      <c r="I95" s="11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104"/>
      <c r="I96" s="11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104"/>
      <c r="I97" s="111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104"/>
      <c r="I98" s="111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104"/>
      <c r="I99" s="11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104"/>
      <c r="I100" s="111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104"/>
      <c r="I101" s="111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104"/>
      <c r="I102" s="111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104"/>
      <c r="I103" s="111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104"/>
      <c r="I104" s="111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104"/>
      <c r="I105" s="11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104"/>
      <c r="I106" s="111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104"/>
      <c r="I107" s="111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104"/>
      <c r="I108" s="111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104"/>
      <c r="I109" s="111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104"/>
      <c r="I110" s="111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104"/>
      <c r="I111" s="11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104"/>
      <c r="I112" s="11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104"/>
      <c r="I113" s="111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104"/>
      <c r="I114" s="111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104"/>
      <c r="I115" s="111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104"/>
      <c r="I116" s="111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104"/>
      <c r="I117" s="111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104"/>
      <c r="I118" s="111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104"/>
      <c r="I119" s="111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104"/>
      <c r="I120" s="111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104"/>
      <c r="I121" s="111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104"/>
      <c r="I122" s="111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104"/>
      <c r="I123" s="111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104"/>
      <c r="I124" s="111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104"/>
      <c r="I125" s="111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104"/>
      <c r="I126" s="111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104"/>
      <c r="I127" s="111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104"/>
      <c r="I128" s="111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104"/>
      <c r="I129" s="111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104"/>
      <c r="I130" s="111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104"/>
      <c r="I131" s="111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104"/>
      <c r="I132" s="111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104"/>
      <c r="I133" s="111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104"/>
      <c r="I134" s="111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104"/>
      <c r="I135" s="111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104"/>
      <c r="I136" s="111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104"/>
      <c r="I137" s="111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104"/>
      <c r="I138" s="111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104"/>
      <c r="I139" s="111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104"/>
      <c r="I140" s="111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104"/>
      <c r="I141" s="111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104"/>
      <c r="I142" s="111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104"/>
      <c r="I143" s="111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104"/>
      <c r="I144" s="111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104"/>
      <c r="I145" s="111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104"/>
      <c r="I146" s="111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104"/>
      <c r="I147" s="111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104"/>
      <c r="I148" s="111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104"/>
      <c r="I149" s="111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104"/>
      <c r="I150" s="111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104"/>
      <c r="I151" s="111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104"/>
      <c r="I152" s="111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104"/>
      <c r="I153" s="111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104"/>
      <c r="I154" s="11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104"/>
      <c r="I155" s="11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104"/>
      <c r="I156" s="11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104"/>
      <c r="I157" s="111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104"/>
      <c r="I158" s="111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104"/>
      <c r="I159" s="111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104"/>
      <c r="I160" s="111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104"/>
      <c r="I161" s="111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104"/>
      <c r="I162" s="111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104"/>
      <c r="I163" s="111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104"/>
      <c r="I164" s="111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104"/>
      <c r="I165" s="111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104"/>
      <c r="I166" s="111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104"/>
      <c r="I167" s="111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104"/>
      <c r="I168" s="111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104"/>
      <c r="I169" s="111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104"/>
      <c r="I170" s="111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104"/>
      <c r="I171" s="111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104"/>
      <c r="I172" s="111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104"/>
      <c r="I173" s="111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104"/>
      <c r="I174" s="111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104"/>
      <c r="I175" s="111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104"/>
      <c r="I176" s="111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104"/>
      <c r="I177" s="111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104"/>
      <c r="I178" s="111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104"/>
      <c r="I179" s="111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104"/>
      <c r="I180" s="111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104"/>
      <c r="I181" s="111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104"/>
      <c r="I182" s="111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104"/>
      <c r="I183" s="111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104"/>
      <c r="I184" s="111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104"/>
      <c r="I185" s="11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104"/>
      <c r="I186" s="11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104"/>
      <c r="I187" s="11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104"/>
      <c r="I188" s="11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104"/>
      <c r="I189" s="11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104"/>
      <c r="I190" s="111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104"/>
      <c r="I191" s="111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104"/>
      <c r="I192" s="111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104"/>
      <c r="I193" s="111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104"/>
      <c r="I194" s="111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104"/>
      <c r="I195" s="111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104"/>
      <c r="I196" s="111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104"/>
      <c r="I197" s="111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104"/>
      <c r="I198" s="111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104"/>
      <c r="I199" s="111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104"/>
      <c r="I200" s="111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104"/>
      <c r="I201" s="111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104"/>
      <c r="I202" s="111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104"/>
      <c r="I203" s="111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104"/>
      <c r="I204" s="111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104"/>
      <c r="I205" s="111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104"/>
      <c r="I206" s="111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104"/>
      <c r="I207" s="111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104"/>
      <c r="I208" s="111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104"/>
      <c r="I209" s="111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104"/>
      <c r="I210" s="111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104"/>
      <c r="I211" s="111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104"/>
      <c r="I212" s="111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104"/>
      <c r="I213" s="111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104"/>
      <c r="I214" s="111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104"/>
      <c r="I215" s="111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104"/>
      <c r="I216" s="111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104"/>
      <c r="I217" s="111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104"/>
      <c r="I218" s="111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104"/>
      <c r="I219" s="111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104"/>
      <c r="I220" s="111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104"/>
      <c r="I221" s="111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104"/>
      <c r="I222" s="111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104"/>
      <c r="I223" s="111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104"/>
      <c r="I224" s="111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104"/>
      <c r="I225" s="111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104"/>
      <c r="I226" s="111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104"/>
      <c r="I227" s="111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104"/>
      <c r="I228" s="111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104"/>
      <c r="I229" s="111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104"/>
      <c r="I230" s="111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104"/>
      <c r="I231" s="111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104"/>
      <c r="I232" s="111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104"/>
      <c r="I233" s="111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104"/>
      <c r="I234" s="111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104"/>
      <c r="I235" s="111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104"/>
      <c r="I236" s="111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104"/>
      <c r="I237" s="111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104"/>
      <c r="I238" s="111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104"/>
      <c r="I239" s="111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104"/>
      <c r="I240" s="111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104"/>
      <c r="I241" s="111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104"/>
      <c r="I242" s="111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104"/>
      <c r="I243" s="111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104"/>
      <c r="I244" s="111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104"/>
      <c r="I245" s="111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104"/>
      <c r="I246" s="111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104"/>
      <c r="I247" s="111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104"/>
      <c r="I248" s="111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104"/>
      <c r="I249" s="111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104"/>
      <c r="I250" s="111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104"/>
      <c r="I251" s="111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104"/>
      <c r="I252" s="111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104"/>
      <c r="I253" s="111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104"/>
      <c r="I254" s="111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104"/>
      <c r="I255" s="111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104"/>
      <c r="I256" s="111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104"/>
      <c r="I257" s="111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104"/>
      <c r="I258" s="111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104"/>
      <c r="I259" s="111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104"/>
      <c r="I260" s="111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104"/>
      <c r="I261" s="111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104"/>
      <c r="I262" s="111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104"/>
      <c r="I263" s="111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104"/>
      <c r="I264" s="111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104"/>
      <c r="I265" s="111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104"/>
      <c r="I266" s="111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104"/>
      <c r="I267" s="111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104"/>
      <c r="I268" s="111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104"/>
      <c r="I269" s="111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104"/>
      <c r="I270" s="111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104"/>
      <c r="I271" s="111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104"/>
      <c r="I272" s="111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104"/>
      <c r="I273" s="111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104"/>
      <c r="I274" s="111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104"/>
      <c r="I275" s="111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104"/>
      <c r="I276" s="111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104"/>
      <c r="I277" s="111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104"/>
      <c r="I278" s="111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104"/>
      <c r="I279" s="111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104"/>
      <c r="I280" s="111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104"/>
      <c r="I281" s="111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104"/>
      <c r="I282" s="111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104"/>
      <c r="I283" s="111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104"/>
      <c r="I284" s="111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104"/>
      <c r="I285" s="111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104"/>
      <c r="I286" s="111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104"/>
      <c r="I287" s="111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104"/>
      <c r="I288" s="111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104"/>
      <c r="I289" s="111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104"/>
      <c r="I290" s="111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104"/>
      <c r="I291" s="111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104"/>
      <c r="I292" s="111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104"/>
      <c r="I293" s="111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104"/>
      <c r="I294" s="111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104"/>
      <c r="I295" s="111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104"/>
      <c r="I296" s="111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104"/>
      <c r="I297" s="111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104"/>
      <c r="I298" s="111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104"/>
      <c r="I299" s="111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104"/>
      <c r="I300" s="111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104"/>
      <c r="I301" s="111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104"/>
      <c r="I302" s="111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104"/>
      <c r="I303" s="111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104"/>
      <c r="I304" s="111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104"/>
      <c r="I305" s="111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104"/>
      <c r="I306" s="111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104"/>
      <c r="I307" s="111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104"/>
      <c r="I308" s="111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104"/>
      <c r="I309" s="111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104"/>
      <c r="I310" s="111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104"/>
      <c r="I311" s="111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104"/>
      <c r="I312" s="111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104"/>
      <c r="I313" s="111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104"/>
      <c r="I314" s="111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104"/>
      <c r="I315" s="111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104"/>
      <c r="I316" s="111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104"/>
      <c r="I317" s="111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104"/>
      <c r="I318" s="111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104"/>
      <c r="I319" s="111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104"/>
      <c r="I320" s="111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104"/>
      <c r="I321" s="111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104"/>
      <c r="I322" s="111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104"/>
      <c r="I323" s="111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104"/>
      <c r="I324" s="111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104"/>
      <c r="I325" s="111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104"/>
      <c r="I326" s="111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104"/>
      <c r="I327" s="111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104"/>
      <c r="I328" s="111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104"/>
      <c r="I329" s="111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104"/>
      <c r="I330" s="111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104"/>
      <c r="I331" s="111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104"/>
      <c r="I332" s="111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104"/>
      <c r="I333" s="111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104"/>
      <c r="I334" s="111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104"/>
      <c r="I335" s="111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104"/>
      <c r="I336" s="111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104"/>
      <c r="I337" s="111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104"/>
      <c r="I338" s="111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104"/>
      <c r="I339" s="111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104"/>
      <c r="I340" s="111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104"/>
      <c r="I341" s="111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104"/>
      <c r="I342" s="111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104"/>
      <c r="I343" s="111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104"/>
      <c r="I344" s="111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104"/>
      <c r="I345" s="111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104"/>
      <c r="I346" s="111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104"/>
      <c r="I347" s="111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104"/>
      <c r="I348" s="111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104"/>
      <c r="I349" s="111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104"/>
      <c r="I350" s="111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104"/>
      <c r="I351" s="111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104"/>
      <c r="I352" s="111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104"/>
      <c r="I353" s="111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104"/>
      <c r="I354" s="111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104"/>
      <c r="I355" s="111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104"/>
      <c r="I356" s="111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104"/>
      <c r="I357" s="111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104"/>
      <c r="I358" s="111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104"/>
      <c r="I359" s="111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104"/>
      <c r="I360" s="111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104"/>
      <c r="I361" s="111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104"/>
      <c r="I362" s="111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104"/>
      <c r="I363" s="111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104"/>
      <c r="I364" s="111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104"/>
      <c r="I365" s="111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104"/>
      <c r="I366" s="111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104"/>
      <c r="I367" s="111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104"/>
      <c r="I368" s="111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104"/>
      <c r="I369" s="111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104"/>
      <c r="I370" s="111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104"/>
      <c r="I371" s="111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104"/>
      <c r="I372" s="111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104"/>
      <c r="I373" s="111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104"/>
      <c r="I374" s="111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104"/>
      <c r="I375" s="111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104"/>
      <c r="I376" s="111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104"/>
      <c r="I377" s="111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104"/>
      <c r="I378" s="111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104"/>
      <c r="I379" s="111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104"/>
      <c r="I380" s="111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104"/>
      <c r="I381" s="111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104"/>
      <c r="I382" s="111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104"/>
      <c r="I383" s="111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104"/>
      <c r="I384" s="111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104"/>
      <c r="I385" s="111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104"/>
      <c r="I386" s="111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104"/>
      <c r="I387" s="111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104"/>
      <c r="I388" s="111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104"/>
      <c r="I389" s="111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104"/>
      <c r="I390" s="111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104"/>
      <c r="I391" s="111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104"/>
      <c r="I392" s="111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104"/>
      <c r="I393" s="111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104"/>
      <c r="I394" s="111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104"/>
      <c r="I395" s="111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104"/>
      <c r="I396" s="111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104"/>
      <c r="I397" s="111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104"/>
      <c r="I398" s="111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104"/>
      <c r="I399" s="111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104"/>
      <c r="I400" s="111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104"/>
      <c r="I401" s="111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104"/>
      <c r="I402" s="111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104"/>
      <c r="I403" s="111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104"/>
      <c r="I404" s="111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104"/>
      <c r="I405" s="111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104"/>
      <c r="I406" s="111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104"/>
      <c r="I407" s="111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104"/>
      <c r="I408" s="111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104"/>
      <c r="I409" s="111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104"/>
      <c r="I410" s="111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104"/>
      <c r="I411" s="111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104"/>
      <c r="I412" s="111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104"/>
      <c r="I413" s="111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104"/>
      <c r="I414" s="111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104"/>
      <c r="I415" s="111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104"/>
      <c r="I416" s="111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104"/>
      <c r="I417" s="111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104"/>
      <c r="I418" s="111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104"/>
      <c r="I419" s="111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104"/>
      <c r="I420" s="111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104"/>
      <c r="I421" s="111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104"/>
      <c r="I422" s="111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104"/>
      <c r="I423" s="111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104"/>
      <c r="I424" s="111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104"/>
      <c r="I425" s="111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104"/>
      <c r="I426" s="111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104"/>
      <c r="I427" s="111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104"/>
      <c r="I428" s="111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104"/>
      <c r="I429" s="111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104"/>
      <c r="I430" s="111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104"/>
      <c r="I431" s="111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104"/>
      <c r="I432" s="111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104"/>
      <c r="I433" s="111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104"/>
      <c r="I434" s="111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104"/>
      <c r="I435" s="111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104"/>
      <c r="I436" s="111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104"/>
      <c r="I437" s="111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104"/>
      <c r="I438" s="111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104"/>
      <c r="I439" s="111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104"/>
      <c r="I440" s="111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104"/>
      <c r="I441" s="111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104"/>
      <c r="I442" s="111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104"/>
      <c r="I443" s="111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104"/>
      <c r="I444" s="111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104"/>
      <c r="I445" s="111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104"/>
      <c r="I446" s="111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104"/>
      <c r="I447" s="111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104"/>
      <c r="I448" s="111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104"/>
      <c r="I449" s="111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104"/>
      <c r="I450" s="111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104"/>
      <c r="I451" s="111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104"/>
      <c r="I452" s="111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104"/>
      <c r="I453" s="111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104"/>
      <c r="I454" s="111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104"/>
      <c r="I455" s="111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104"/>
      <c r="I456" s="111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104"/>
      <c r="I457" s="111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104"/>
      <c r="I458" s="111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104"/>
      <c r="I459" s="111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104"/>
      <c r="I460" s="111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104"/>
      <c r="I461" s="111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104"/>
      <c r="I462" s="111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104"/>
      <c r="I463" s="111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104"/>
      <c r="I464" s="111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104"/>
      <c r="I465" s="111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104"/>
      <c r="I466" s="111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104"/>
      <c r="I467" s="111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104"/>
      <c r="I468" s="111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104"/>
      <c r="I469" s="111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104"/>
      <c r="I470" s="111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104"/>
      <c r="I471" s="111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104"/>
      <c r="I472" s="111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104"/>
      <c r="I473" s="111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104"/>
      <c r="I474" s="111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104"/>
      <c r="I475" s="111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104"/>
      <c r="I476" s="111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104"/>
      <c r="I477" s="111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104"/>
      <c r="I478" s="111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104"/>
      <c r="I479" s="111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104"/>
      <c r="I480" s="111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104"/>
      <c r="I481" s="111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104"/>
      <c r="I482" s="111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104"/>
      <c r="I483" s="111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104"/>
      <c r="I484" s="111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104"/>
      <c r="I485" s="111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104"/>
      <c r="I486" s="111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104"/>
      <c r="I487" s="111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104"/>
      <c r="I488" s="111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104"/>
      <c r="I489" s="111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104"/>
      <c r="I490" s="111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104"/>
      <c r="I491" s="111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104"/>
      <c r="I492" s="111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104"/>
      <c r="I493" s="111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104"/>
      <c r="I494" s="111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104"/>
      <c r="I495" s="111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104"/>
      <c r="I496" s="111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104"/>
      <c r="I497" s="111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104"/>
      <c r="I498" s="111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104"/>
      <c r="I499" s="111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104"/>
      <c r="I500" s="111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104"/>
      <c r="I501" s="111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104"/>
      <c r="I502" s="111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104"/>
      <c r="I503" s="111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104"/>
      <c r="I504" s="111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104"/>
      <c r="I505" s="111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104"/>
      <c r="I506" s="111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104"/>
      <c r="I507" s="111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104"/>
      <c r="I508" s="111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104"/>
      <c r="I509" s="111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104"/>
      <c r="I510" s="111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104"/>
      <c r="I511" s="111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104"/>
      <c r="I512" s="111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104"/>
      <c r="I513" s="111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104"/>
      <c r="I514" s="111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104"/>
      <c r="I515" s="111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104"/>
      <c r="I516" s="111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104"/>
      <c r="I517" s="111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104"/>
      <c r="I518" s="111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104"/>
      <c r="I519" s="111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104"/>
      <c r="I520" s="111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104"/>
      <c r="I521" s="111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104"/>
      <c r="I522" s="111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104"/>
      <c r="I523" s="111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104"/>
      <c r="I524" s="111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104"/>
      <c r="I525" s="111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104"/>
      <c r="I526" s="111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104"/>
      <c r="I527" s="111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104"/>
      <c r="I528" s="111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104"/>
      <c r="I529" s="111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104"/>
      <c r="I530" s="111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104"/>
      <c r="I531" s="111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104"/>
      <c r="I532" s="111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104"/>
      <c r="I533" s="111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104"/>
      <c r="I534" s="111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104"/>
      <c r="I535" s="111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104"/>
      <c r="I536" s="111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104"/>
      <c r="I537" s="111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104"/>
      <c r="I538" s="111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104"/>
      <c r="I539" s="111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104"/>
      <c r="I540" s="111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104"/>
      <c r="I541" s="111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104"/>
      <c r="I542" s="111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104"/>
      <c r="I543" s="111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104"/>
      <c r="I544" s="111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104"/>
      <c r="I545" s="111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104"/>
      <c r="I546" s="111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104"/>
      <c r="I547" s="111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104"/>
      <c r="I548" s="111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104"/>
      <c r="I549" s="111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104"/>
      <c r="I550" s="111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104"/>
      <c r="I551" s="111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104"/>
      <c r="I552" s="111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104"/>
      <c r="I553" s="111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104"/>
      <c r="I554" s="111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104"/>
      <c r="I555" s="111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104"/>
      <c r="I556" s="111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104"/>
      <c r="I557" s="111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104"/>
      <c r="I558" s="111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104"/>
      <c r="I559" s="111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104"/>
      <c r="I560" s="111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104"/>
      <c r="I561" s="111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104"/>
      <c r="I562" s="111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104"/>
      <c r="I563" s="111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104"/>
      <c r="I564" s="111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104"/>
      <c r="I565" s="111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104"/>
      <c r="I566" s="111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104"/>
      <c r="I567" s="111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104"/>
      <c r="I568" s="111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104"/>
      <c r="I569" s="111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104"/>
      <c r="I570" s="111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104"/>
      <c r="I571" s="111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104"/>
      <c r="I572" s="111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104"/>
      <c r="I573" s="111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104"/>
      <c r="I574" s="111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104"/>
      <c r="I575" s="111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104"/>
      <c r="I576" s="111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104"/>
      <c r="I577" s="111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104"/>
      <c r="I578" s="111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104"/>
      <c r="I579" s="111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104"/>
      <c r="I580" s="111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104"/>
      <c r="I581" s="111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104"/>
      <c r="I582" s="111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104"/>
      <c r="I583" s="111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104"/>
      <c r="I584" s="111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104"/>
      <c r="I585" s="111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104"/>
      <c r="I586" s="111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104"/>
      <c r="I587" s="111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104"/>
      <c r="I588" s="111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104"/>
      <c r="I589" s="111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104"/>
      <c r="I590" s="111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104"/>
      <c r="I591" s="111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104"/>
      <c r="I592" s="111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104"/>
      <c r="I593" s="111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104"/>
      <c r="I594" s="111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104"/>
      <c r="I595" s="111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104"/>
      <c r="I596" s="111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104"/>
      <c r="I597" s="111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104"/>
      <c r="I598" s="111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104"/>
      <c r="I599" s="111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104"/>
      <c r="I600" s="111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104"/>
      <c r="I601" s="111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104"/>
      <c r="I602" s="111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104"/>
      <c r="I603" s="111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104"/>
      <c r="I604" s="111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104"/>
      <c r="I605" s="111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104"/>
      <c r="I606" s="111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104"/>
      <c r="I607" s="111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104"/>
      <c r="I608" s="111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104"/>
      <c r="I609" s="111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104"/>
      <c r="I610" s="111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104"/>
      <c r="I611" s="111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104"/>
      <c r="I612" s="111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104"/>
      <c r="I613" s="111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104"/>
      <c r="I614" s="111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104"/>
      <c r="I615" s="111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104"/>
      <c r="I616" s="111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104"/>
      <c r="I617" s="111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104"/>
      <c r="I618" s="111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104"/>
      <c r="I619" s="111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104"/>
      <c r="I620" s="111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104"/>
      <c r="I621" s="111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104"/>
      <c r="I622" s="111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104"/>
      <c r="I623" s="111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104"/>
      <c r="I624" s="111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104"/>
      <c r="I625" s="111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104"/>
      <c r="I626" s="111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104"/>
      <c r="I627" s="111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104"/>
      <c r="I628" s="111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104"/>
      <c r="I629" s="111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104"/>
      <c r="I630" s="111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104"/>
      <c r="I631" s="111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104"/>
      <c r="I632" s="111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104"/>
      <c r="I633" s="111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104"/>
      <c r="I634" s="111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104"/>
      <c r="I635" s="111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104"/>
      <c r="I636" s="111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104"/>
      <c r="I637" s="111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104"/>
      <c r="I638" s="111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104"/>
      <c r="I639" s="111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104"/>
      <c r="I640" s="111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104"/>
      <c r="I641" s="111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104"/>
      <c r="I642" s="111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104"/>
      <c r="I643" s="111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104"/>
      <c r="I644" s="111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104"/>
      <c r="I645" s="111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104"/>
      <c r="I646" s="111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104"/>
      <c r="I647" s="111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104"/>
      <c r="I648" s="111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104"/>
      <c r="I649" s="111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104"/>
      <c r="I650" s="111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104"/>
      <c r="I651" s="111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104"/>
      <c r="I652" s="111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104"/>
      <c r="I653" s="111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104"/>
      <c r="I654" s="111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104"/>
      <c r="I655" s="111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104"/>
      <c r="I656" s="111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104"/>
      <c r="I657" s="111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104"/>
      <c r="I658" s="111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104"/>
      <c r="I659" s="111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104"/>
      <c r="I660" s="111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104"/>
      <c r="I661" s="111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104"/>
      <c r="I662" s="111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104"/>
      <c r="I663" s="111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104"/>
      <c r="I664" s="111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104"/>
      <c r="I665" s="111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104"/>
      <c r="I666" s="111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104"/>
      <c r="I667" s="111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104"/>
      <c r="I668" s="111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104"/>
      <c r="I669" s="111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104"/>
      <c r="I670" s="111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104"/>
      <c r="I671" s="111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104"/>
      <c r="I672" s="111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104"/>
      <c r="I673" s="111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104"/>
      <c r="I674" s="111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104"/>
      <c r="I675" s="111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104"/>
      <c r="I676" s="111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104"/>
      <c r="I677" s="111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104"/>
      <c r="I678" s="111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104"/>
      <c r="I679" s="111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104"/>
      <c r="I680" s="111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104"/>
      <c r="I681" s="111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104"/>
      <c r="I682" s="111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104"/>
      <c r="I683" s="111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104"/>
      <c r="I684" s="111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104"/>
      <c r="I685" s="111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104"/>
      <c r="I686" s="111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104"/>
      <c r="I687" s="111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104"/>
      <c r="I688" s="111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104"/>
      <c r="I689" s="111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104"/>
      <c r="I690" s="111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104"/>
      <c r="I691" s="111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104"/>
      <c r="I692" s="111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104"/>
      <c r="I693" s="111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104"/>
      <c r="I694" s="111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104"/>
      <c r="I695" s="111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104"/>
      <c r="I696" s="111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104"/>
      <c r="I697" s="111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104"/>
      <c r="I698" s="111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104"/>
      <c r="I699" s="111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104"/>
      <c r="I700" s="111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104"/>
      <c r="I701" s="111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104"/>
      <c r="I702" s="111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104"/>
      <c r="I703" s="111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104"/>
      <c r="I704" s="111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104"/>
      <c r="I705" s="111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104"/>
      <c r="I706" s="111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104"/>
      <c r="I707" s="111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104"/>
      <c r="I708" s="111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104"/>
      <c r="I709" s="111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104"/>
      <c r="I710" s="111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104"/>
      <c r="I711" s="111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104"/>
      <c r="I712" s="111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104"/>
      <c r="I713" s="111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104"/>
      <c r="I714" s="111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104"/>
      <c r="I715" s="111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104"/>
      <c r="I716" s="111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104"/>
      <c r="I717" s="111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104"/>
      <c r="I718" s="111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104"/>
      <c r="I719" s="111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104"/>
      <c r="I720" s="111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104"/>
      <c r="I721" s="111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104"/>
      <c r="I722" s="111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104"/>
      <c r="I723" s="111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104"/>
      <c r="I724" s="111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104"/>
      <c r="I725" s="111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104"/>
      <c r="I726" s="111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104"/>
      <c r="I727" s="111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104"/>
      <c r="I728" s="111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104"/>
      <c r="I729" s="111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104"/>
      <c r="I730" s="111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104"/>
      <c r="I731" s="111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104"/>
      <c r="I732" s="111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104"/>
      <c r="I733" s="111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104"/>
      <c r="I734" s="111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104"/>
      <c r="I735" s="111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104"/>
      <c r="I736" s="111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104"/>
      <c r="I737" s="111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104"/>
      <c r="I738" s="111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104"/>
      <c r="I739" s="111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104"/>
      <c r="I740" s="111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104"/>
      <c r="I741" s="111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104"/>
      <c r="I742" s="111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104"/>
      <c r="I743" s="111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104"/>
      <c r="I744" s="111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104"/>
      <c r="I745" s="111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104"/>
      <c r="I746" s="111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104"/>
      <c r="I747" s="111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104"/>
      <c r="I748" s="111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104"/>
      <c r="I749" s="111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104"/>
      <c r="I750" s="111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104"/>
      <c r="I751" s="111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104"/>
      <c r="I752" s="111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104"/>
      <c r="I753" s="111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104"/>
      <c r="I754" s="111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104"/>
      <c r="I755" s="111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104"/>
      <c r="I756" s="111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104"/>
      <c r="I757" s="111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104"/>
      <c r="I758" s="111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104"/>
      <c r="I759" s="111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104"/>
      <c r="I760" s="111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104"/>
      <c r="I761" s="111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104"/>
      <c r="I762" s="111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104"/>
      <c r="I763" s="111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104"/>
      <c r="I764" s="111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104"/>
      <c r="I765" s="111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104"/>
      <c r="I766" s="111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104"/>
      <c r="I767" s="111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104"/>
      <c r="I768" s="111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104"/>
      <c r="I769" s="111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104"/>
      <c r="I770" s="111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104"/>
      <c r="I771" s="111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104"/>
      <c r="I772" s="111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104"/>
      <c r="I773" s="111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104"/>
      <c r="I774" s="111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104"/>
      <c r="I775" s="111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104"/>
      <c r="I776" s="111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104"/>
      <c r="I777" s="111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104"/>
      <c r="I778" s="111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104"/>
      <c r="I779" s="111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104"/>
      <c r="I780" s="111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104"/>
      <c r="I781" s="111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104"/>
      <c r="I782" s="111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104"/>
      <c r="I783" s="111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104"/>
      <c r="I784" s="111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104"/>
      <c r="I785" s="111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104"/>
      <c r="I786" s="111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104"/>
      <c r="I787" s="111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104"/>
      <c r="I788" s="111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104"/>
      <c r="I789" s="111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104"/>
      <c r="I790" s="111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104"/>
      <c r="I791" s="111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104"/>
      <c r="I792" s="111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104"/>
      <c r="I793" s="111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104"/>
      <c r="I794" s="111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104"/>
      <c r="I795" s="111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104"/>
      <c r="I796" s="111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104"/>
      <c r="I797" s="111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104"/>
      <c r="I798" s="111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104"/>
      <c r="I799" s="111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104"/>
      <c r="I800" s="111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104"/>
      <c r="I801" s="111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104"/>
      <c r="I802" s="111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104"/>
      <c r="I803" s="111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104"/>
      <c r="I804" s="111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104"/>
      <c r="I805" s="111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104"/>
      <c r="I806" s="111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104"/>
      <c r="I807" s="111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104"/>
      <c r="I808" s="111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104"/>
      <c r="I809" s="111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104"/>
      <c r="I810" s="111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104"/>
      <c r="I811" s="111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104"/>
      <c r="I812" s="111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104"/>
      <c r="I813" s="111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104"/>
      <c r="I814" s="111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104"/>
      <c r="I815" s="111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104"/>
      <c r="I816" s="111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104"/>
      <c r="I817" s="111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104"/>
      <c r="I818" s="111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104"/>
      <c r="I819" s="111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104"/>
      <c r="I820" s="111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104"/>
      <c r="I821" s="111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104"/>
      <c r="I822" s="111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104"/>
      <c r="I823" s="111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104"/>
      <c r="I824" s="111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104"/>
      <c r="I825" s="111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104"/>
      <c r="I826" s="111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104"/>
      <c r="I827" s="111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104"/>
      <c r="I828" s="111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104"/>
      <c r="I829" s="111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104"/>
      <c r="I830" s="111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104"/>
      <c r="I831" s="111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104"/>
      <c r="I832" s="111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104"/>
      <c r="I833" s="111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104"/>
      <c r="I834" s="111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104"/>
      <c r="I835" s="111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104"/>
      <c r="I836" s="111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104"/>
      <c r="I837" s="111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104"/>
      <c r="I838" s="111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104"/>
      <c r="I839" s="111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104"/>
      <c r="I840" s="111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104"/>
      <c r="I841" s="111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104"/>
      <c r="I842" s="111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104"/>
      <c r="I843" s="111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104"/>
      <c r="I844" s="111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104"/>
      <c r="I845" s="111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104"/>
      <c r="I846" s="111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104"/>
      <c r="I847" s="111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104"/>
      <c r="I848" s="111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104"/>
      <c r="I849" s="111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104"/>
      <c r="I850" s="111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104"/>
      <c r="I851" s="111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104"/>
      <c r="I852" s="111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104"/>
      <c r="I853" s="111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104"/>
      <c r="I854" s="111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104"/>
      <c r="I855" s="111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104"/>
      <c r="I856" s="111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104"/>
      <c r="I857" s="111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104"/>
      <c r="I858" s="111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104"/>
      <c r="I859" s="111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104"/>
      <c r="I860" s="111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104"/>
      <c r="I861" s="111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104"/>
      <c r="I862" s="111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104"/>
      <c r="I863" s="111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104"/>
      <c r="I864" s="111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104"/>
      <c r="I865" s="111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104"/>
      <c r="I866" s="111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104"/>
      <c r="I867" s="111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104"/>
      <c r="I868" s="111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104"/>
      <c r="I869" s="111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104"/>
      <c r="I870" s="111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104"/>
      <c r="I871" s="111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104"/>
      <c r="I872" s="111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104"/>
      <c r="I873" s="111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104"/>
      <c r="I874" s="111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104"/>
      <c r="I875" s="111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104"/>
      <c r="I876" s="111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104"/>
      <c r="I877" s="111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104"/>
      <c r="I878" s="111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104"/>
      <c r="I879" s="111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104"/>
      <c r="I880" s="111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104"/>
      <c r="I881" s="111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104"/>
      <c r="I882" s="111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104"/>
      <c r="I883" s="111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104"/>
      <c r="I884" s="111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104"/>
      <c r="I885" s="111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104"/>
      <c r="I886" s="111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104"/>
      <c r="I887" s="111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104"/>
      <c r="I888" s="111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104"/>
      <c r="I889" s="111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104"/>
      <c r="I890" s="111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104"/>
      <c r="I891" s="111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104"/>
      <c r="I892" s="111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104"/>
      <c r="I893" s="111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104"/>
      <c r="I894" s="111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104"/>
      <c r="I895" s="111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104"/>
      <c r="I896" s="111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104"/>
      <c r="I897" s="111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104"/>
      <c r="I898" s="111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104"/>
      <c r="I899" s="111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104"/>
      <c r="I900" s="111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104"/>
      <c r="I901" s="111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104"/>
      <c r="I902" s="111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104"/>
      <c r="I903" s="111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104"/>
      <c r="I904" s="111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104"/>
      <c r="I905" s="111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104"/>
      <c r="I906" s="111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104"/>
      <c r="I907" s="111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104"/>
      <c r="I908" s="111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104"/>
      <c r="I909" s="111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104"/>
      <c r="I910" s="111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104"/>
      <c r="I911" s="111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104"/>
      <c r="I912" s="111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104"/>
      <c r="I913" s="111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104"/>
      <c r="I914" s="111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104"/>
      <c r="I915" s="111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104"/>
      <c r="I916" s="111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104"/>
      <c r="I917" s="111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104"/>
      <c r="I918" s="111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104"/>
      <c r="I919" s="111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104"/>
      <c r="I920" s="111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104"/>
      <c r="I921" s="111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104"/>
      <c r="I922" s="111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104"/>
      <c r="I923" s="111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104"/>
      <c r="I924" s="111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104"/>
      <c r="I925" s="111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104"/>
      <c r="I926" s="111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104"/>
      <c r="I927" s="111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104"/>
      <c r="I928" s="111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104"/>
      <c r="I929" s="111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104"/>
      <c r="I930" s="111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104"/>
      <c r="I931" s="111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104"/>
      <c r="I932" s="111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104"/>
      <c r="I933" s="111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104"/>
      <c r="I934" s="111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104"/>
      <c r="I935" s="111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104"/>
      <c r="I936" s="111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104"/>
      <c r="I937" s="111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104"/>
      <c r="I938" s="111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104"/>
      <c r="I939" s="111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104"/>
      <c r="I940" s="111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104"/>
      <c r="I941" s="111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104"/>
      <c r="I942" s="111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104"/>
      <c r="I943" s="111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104"/>
      <c r="I944" s="111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104"/>
      <c r="I945" s="111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104"/>
      <c r="I946" s="111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104"/>
      <c r="I947" s="111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104"/>
      <c r="I948" s="111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104"/>
      <c r="I949" s="111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104"/>
      <c r="I950" s="111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104"/>
      <c r="I951" s="111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104"/>
      <c r="I952" s="111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104"/>
      <c r="I953" s="111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104"/>
      <c r="I954" s="111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104"/>
      <c r="I955" s="111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104"/>
      <c r="I956" s="111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104"/>
      <c r="I957" s="111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104"/>
      <c r="I958" s="111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104"/>
      <c r="I959" s="111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104"/>
      <c r="I960" s="111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104"/>
      <c r="I961" s="111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104"/>
      <c r="I962" s="111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104"/>
      <c r="I963" s="111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104"/>
      <c r="I964" s="111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104"/>
      <c r="I965" s="111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104"/>
      <c r="I966" s="111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104"/>
      <c r="I967" s="111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104"/>
      <c r="I968" s="111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104"/>
      <c r="I969" s="111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104"/>
      <c r="I970" s="111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104"/>
      <c r="I971" s="111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104"/>
      <c r="I972" s="111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104"/>
      <c r="I973" s="111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104"/>
      <c r="I974" s="111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104"/>
      <c r="I975" s="111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104"/>
      <c r="I976" s="111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104"/>
      <c r="I977" s="111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104"/>
      <c r="I978" s="111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104"/>
      <c r="I979" s="111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104"/>
      <c r="I980" s="111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104"/>
      <c r="I981" s="111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104"/>
      <c r="I982" s="111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104"/>
      <c r="I983" s="111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104"/>
      <c r="I984" s="111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104"/>
      <c r="I985" s="111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104"/>
      <c r="I986" s="111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104"/>
      <c r="I987" s="111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104"/>
      <c r="I988" s="111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104"/>
      <c r="I989" s="111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104"/>
      <c r="I990" s="111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104"/>
      <c r="I991" s="111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104"/>
      <c r="I992" s="111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104"/>
      <c r="I993" s="111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mergeCells count="29">
    <mergeCell ref="A1:C1"/>
    <mergeCell ref="D1:G1"/>
    <mergeCell ref="A2:D3"/>
    <mergeCell ref="E2:G2"/>
    <mergeCell ref="E3:G3"/>
    <mergeCell ref="A4:G4"/>
    <mergeCell ref="E5:G5"/>
    <mergeCell ref="A5:D5"/>
    <mergeCell ref="A6:D6"/>
    <mergeCell ref="E6:G6"/>
    <mergeCell ref="A7:D7"/>
    <mergeCell ref="E7:G7"/>
    <mergeCell ref="A8:D8"/>
    <mergeCell ref="E8:G8"/>
    <mergeCell ref="A16:G16"/>
    <mergeCell ref="A17:G17"/>
    <mergeCell ref="A18:G18"/>
    <mergeCell ref="A19:G19"/>
    <mergeCell ref="A20:G20"/>
    <mergeCell ref="A21:G21"/>
    <mergeCell ref="A22:G22"/>
    <mergeCell ref="A23:G23"/>
    <mergeCell ref="A9:D9"/>
    <mergeCell ref="E9:G9"/>
    <mergeCell ref="A10:G10"/>
    <mergeCell ref="A13:B13"/>
    <mergeCell ref="F13:G13"/>
    <mergeCell ref="A14:G14"/>
    <mergeCell ref="A15:G15"/>
  </mergeCells>
  <drawing r:id="rId4"/>
  <legacyDrawing r:id="rId5"/>
</worksheet>
</file>